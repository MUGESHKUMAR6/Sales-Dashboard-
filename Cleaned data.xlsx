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AD9330C-3FB5-4377-8AF8-942D77574FC8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Sheet3" sheetId="8" r:id="rId1"/>
    <sheet name="Sheet9" sheetId="14" r:id="rId2"/>
    <sheet name="pivot" sheetId="13" r:id="rId3"/>
    <sheet name="Sales_Data" sheetId="1" r:id="rId4"/>
    <sheet name="Sheet2" sheetId="7" r:id="rId5"/>
    <sheet name="Sheet1" sheetId="6" r:id="rId6"/>
  </sheets>
  <calcPr calcId="191029"/>
  <pivotCaches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C2" i="6"/>
  <c r="D2" i="6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B2" i="6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O38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V4" i="1" l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11" i="1"/>
  <c r="V3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298" i="1"/>
  <c r="V290" i="1"/>
  <c r="V282" i="1"/>
  <c r="V274" i="1"/>
  <c r="V266" i="1"/>
  <c r="V258" i="1"/>
  <c r="V250" i="1"/>
  <c r="V242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10" i="1"/>
  <c r="V401" i="1"/>
  <c r="V393" i="1"/>
  <c r="V385" i="1"/>
  <c r="V377" i="1"/>
  <c r="V369" i="1"/>
  <c r="V361" i="1"/>
  <c r="V353" i="1"/>
  <c r="V345" i="1"/>
  <c r="V337" i="1"/>
  <c r="V329" i="1"/>
  <c r="V321" i="1"/>
  <c r="V313" i="1"/>
  <c r="V305" i="1"/>
  <c r="V297" i="1"/>
  <c r="V289" i="1"/>
  <c r="V281" i="1"/>
  <c r="V273" i="1"/>
  <c r="V265" i="1"/>
  <c r="V257" i="1"/>
  <c r="V249" i="1"/>
  <c r="V241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9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7" i="1"/>
  <c r="V279" i="1"/>
  <c r="V271" i="1"/>
  <c r="V263" i="1"/>
  <c r="V255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397" i="1"/>
  <c r="H2" i="6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V5" i="1"/>
  <c r="V396" i="1"/>
  <c r="V2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U401" i="1"/>
  <c r="U381" i="1"/>
  <c r="U397" i="1"/>
  <c r="U333" i="1"/>
  <c r="U353" i="1"/>
  <c r="U389" i="1"/>
  <c r="U321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365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361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  <c r="U345" i="1"/>
  <c r="U301" i="1"/>
  <c r="U269" i="1"/>
  <c r="U229" i="1"/>
  <c r="U189" i="1"/>
  <c r="U149" i="1"/>
  <c r="U133" i="1"/>
  <c r="U101" i="1"/>
  <c r="U61" i="1"/>
  <c r="U29" i="1"/>
  <c r="U337" i="1"/>
  <c r="E2" i="6"/>
  <c r="U373" i="1"/>
  <c r="U341" i="1"/>
  <c r="U293" i="1"/>
  <c r="U253" i="1"/>
  <c r="U221" i="1"/>
  <c r="U181" i="1"/>
  <c r="U141" i="1"/>
  <c r="U125" i="1"/>
  <c r="U93" i="1"/>
  <c r="U53" i="1"/>
  <c r="U21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393" i="1"/>
  <c r="U329" i="1"/>
  <c r="U325" i="1"/>
  <c r="U285" i="1"/>
  <c r="U237" i="1"/>
  <c r="U197" i="1"/>
  <c r="U165" i="1"/>
  <c r="U109" i="1"/>
  <c r="U85" i="1"/>
  <c r="U45" i="1"/>
  <c r="U1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251" i="1"/>
  <c r="U243" i="1"/>
  <c r="U235" i="1"/>
  <c r="U227" i="1"/>
  <c r="U219" i="1"/>
  <c r="U211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385" i="1"/>
  <c r="U357" i="1"/>
  <c r="U317" i="1"/>
  <c r="U277" i="1"/>
  <c r="U245" i="1"/>
  <c r="U205" i="1"/>
  <c r="U157" i="1"/>
  <c r="U117" i="1"/>
  <c r="U77" i="1"/>
  <c r="U37" i="1"/>
  <c r="U5" i="1"/>
  <c r="U394" i="1"/>
  <c r="U378" i="1"/>
  <c r="U362" i="1"/>
  <c r="U346" i="1"/>
  <c r="U330" i="1"/>
  <c r="U314" i="1"/>
  <c r="U298" i="1"/>
  <c r="U282" i="1"/>
  <c r="U266" i="1"/>
  <c r="U250" i="1"/>
  <c r="U234" i="1"/>
  <c r="U226" i="1"/>
  <c r="U202" i="1"/>
  <c r="U186" i="1"/>
  <c r="U170" i="1"/>
  <c r="U154" i="1"/>
  <c r="U146" i="1"/>
  <c r="U130" i="1"/>
  <c r="U122" i="1"/>
  <c r="U114" i="1"/>
  <c r="U106" i="1"/>
  <c r="U98" i="1"/>
  <c r="U82" i="1"/>
  <c r="U74" i="1"/>
  <c r="U66" i="1"/>
  <c r="U58" i="1"/>
  <c r="U50" i="1"/>
  <c r="U42" i="1"/>
  <c r="U34" i="1"/>
  <c r="U26" i="1"/>
  <c r="U18" i="1"/>
  <c r="U10" i="1"/>
  <c r="G2" i="6" a="1"/>
  <c r="G2" i="6" s="1"/>
  <c r="U2" i="1"/>
  <c r="U6" i="1"/>
  <c r="U22" i="1"/>
  <c r="U30" i="1"/>
  <c r="U46" i="1"/>
  <c r="U62" i="1"/>
  <c r="U86" i="1"/>
  <c r="U102" i="1"/>
  <c r="U118" i="1"/>
  <c r="U134" i="1"/>
  <c r="U150" i="1"/>
  <c r="U166" i="1"/>
  <c r="U182" i="1"/>
  <c r="U198" i="1"/>
  <c r="U214" i="1"/>
  <c r="U230" i="1"/>
  <c r="U246" i="1"/>
  <c r="U262" i="1"/>
  <c r="U286" i="1"/>
  <c r="U302" i="1"/>
  <c r="U318" i="1"/>
  <c r="U334" i="1"/>
  <c r="U350" i="1"/>
  <c r="U366" i="1"/>
  <c r="U382" i="1"/>
  <c r="U398" i="1"/>
  <c r="U14" i="1"/>
  <c r="U38" i="1"/>
  <c r="U54" i="1"/>
  <c r="U70" i="1"/>
  <c r="U78" i="1"/>
  <c r="U94" i="1"/>
  <c r="U110" i="1"/>
  <c r="U126" i="1"/>
  <c r="U142" i="1"/>
  <c r="U158" i="1"/>
  <c r="U174" i="1"/>
  <c r="U190" i="1"/>
  <c r="U206" i="1"/>
  <c r="U222" i="1"/>
  <c r="U238" i="1"/>
  <c r="U254" i="1"/>
  <c r="U270" i="1"/>
  <c r="U278" i="1"/>
  <c r="U294" i="1"/>
  <c r="U310" i="1"/>
  <c r="U326" i="1"/>
  <c r="U342" i="1"/>
  <c r="U358" i="1"/>
  <c r="U374" i="1"/>
  <c r="U390" i="1"/>
  <c r="U9" i="1"/>
  <c r="U33" i="1"/>
  <c r="U41" i="1"/>
  <c r="U49" i="1"/>
  <c r="U57" i="1"/>
  <c r="U65" i="1"/>
  <c r="U73" i="1"/>
  <c r="U81" i="1"/>
  <c r="U89" i="1"/>
  <c r="U97" i="1"/>
  <c r="U105" i="1"/>
  <c r="U113" i="1"/>
  <c r="U121" i="1"/>
  <c r="U129" i="1"/>
  <c r="U137" i="1"/>
  <c r="U145" i="1"/>
  <c r="U153" i="1"/>
  <c r="U161" i="1"/>
  <c r="U169" i="1"/>
  <c r="U177" i="1"/>
  <c r="U185" i="1"/>
  <c r="U193" i="1"/>
  <c r="U201" i="1"/>
  <c r="U209" i="1"/>
  <c r="U217" i="1"/>
  <c r="U225" i="1"/>
  <c r="U233" i="1"/>
  <c r="U241" i="1"/>
  <c r="U249" i="1"/>
  <c r="U257" i="1"/>
  <c r="U265" i="1"/>
  <c r="U273" i="1"/>
  <c r="U281" i="1"/>
  <c r="U289" i="1"/>
  <c r="U297" i="1"/>
  <c r="U25" i="1"/>
  <c r="U17" i="1"/>
  <c r="U377" i="1"/>
  <c r="U313" i="1"/>
  <c r="U349" i="1"/>
  <c r="U309" i="1"/>
  <c r="U261" i="1"/>
  <c r="U213" i="1"/>
  <c r="U173" i="1"/>
  <c r="U69" i="1"/>
  <c r="U386" i="1"/>
  <c r="U370" i="1"/>
  <c r="U354" i="1"/>
  <c r="U338" i="1"/>
  <c r="U322" i="1"/>
  <c r="U306" i="1"/>
  <c r="U290" i="1"/>
  <c r="U274" i="1"/>
  <c r="U258" i="1"/>
  <c r="U242" i="1"/>
  <c r="U218" i="1"/>
  <c r="U210" i="1"/>
  <c r="U194" i="1"/>
  <c r="U178" i="1"/>
  <c r="U162" i="1"/>
  <c r="U138" i="1"/>
  <c r="U90" i="1"/>
  <c r="U369" i="1"/>
  <c r="U305" i="1"/>
  <c r="F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<sst xmlns="http://schemas.openxmlformats.org/spreadsheetml/2006/main" count="3732" uniqueCount="927">
  <si>
    <t>Order ID</t>
  </si>
  <si>
    <t>Order Date</t>
  </si>
  <si>
    <t>Ship Date</t>
  </si>
  <si>
    <t>Ship Mode</t>
  </si>
  <si>
    <t>Customer</t>
  </si>
  <si>
    <t>Region</t>
  </si>
  <si>
    <t>Sales Rep</t>
  </si>
  <si>
    <t>Category</t>
  </si>
  <si>
    <t>Product</t>
  </si>
  <si>
    <t>Quantity</t>
  </si>
  <si>
    <t>Unit Price</t>
  </si>
  <si>
    <t>Discount</t>
  </si>
  <si>
    <t>Unit Cost</t>
  </si>
  <si>
    <t>ORD-1001</t>
  </si>
  <si>
    <t>2025-10-16</t>
  </si>
  <si>
    <t>2025-10-20</t>
  </si>
  <si>
    <t>Standard</t>
  </si>
  <si>
    <t>Iota Distributors</t>
  </si>
  <si>
    <t>East</t>
  </si>
  <si>
    <t>R. Brown</t>
  </si>
  <si>
    <t>Electronics</t>
  </si>
  <si>
    <t>Laptop</t>
  </si>
  <si>
    <t>ORD-1002</t>
  </si>
  <si>
    <t>2024-02-02</t>
  </si>
  <si>
    <t>Same Day</t>
  </si>
  <si>
    <t>South</t>
  </si>
  <si>
    <t>J. Smith</t>
  </si>
  <si>
    <t>ORD-1003</t>
  </si>
  <si>
    <t>2025-08-26</t>
  </si>
  <si>
    <t>2025-08-29</t>
  </si>
  <si>
    <t>Express</t>
  </si>
  <si>
    <t>Omicron Trading</t>
  </si>
  <si>
    <t>S. Miller</t>
  </si>
  <si>
    <t>Office Supplies</t>
  </si>
  <si>
    <t>Notebook</t>
  </si>
  <si>
    <t>ORD-1004</t>
  </si>
  <si>
    <t>2024-04-09</t>
  </si>
  <si>
    <t>Kappa Wholesale</t>
  </si>
  <si>
    <t>Central</t>
  </si>
  <si>
    <t>Printer Paper</t>
  </si>
  <si>
    <t>ORD-1005</t>
  </si>
  <si>
    <t>2025-08-14</t>
  </si>
  <si>
    <t>2025-08-20</t>
  </si>
  <si>
    <t>North</t>
  </si>
  <si>
    <t>K. Davis</t>
  </si>
  <si>
    <t>Furniture</t>
  </si>
  <si>
    <t>Office Chair</t>
  </si>
  <si>
    <t>ORD-1006</t>
  </si>
  <si>
    <t>2025-01-14</t>
  </si>
  <si>
    <t>Gamma Supplies</t>
  </si>
  <si>
    <t>A. Williams</t>
  </si>
  <si>
    <t>Stapler</t>
  </si>
  <si>
    <t>ORD-1007</t>
  </si>
  <si>
    <t>2024-02-27</t>
  </si>
  <si>
    <t>2024-03-04</t>
  </si>
  <si>
    <t>Xi Solutions</t>
  </si>
  <si>
    <t>ORD-1008</t>
  </si>
  <si>
    <t>2025-11-02</t>
  </si>
  <si>
    <t>2025-11-09</t>
  </si>
  <si>
    <t>Epsilon Ltd</t>
  </si>
  <si>
    <t>West</t>
  </si>
  <si>
    <t>Clothing</t>
  </si>
  <si>
    <t>Sneakers</t>
  </si>
  <si>
    <t>ORD-1009</t>
  </si>
  <si>
    <t>2025-01-05</t>
  </si>
  <si>
    <t>2025-01-12</t>
  </si>
  <si>
    <t>Rho Retailers</t>
  </si>
  <si>
    <t>M. Johnson</t>
  </si>
  <si>
    <t>Desk</t>
  </si>
  <si>
    <t>ORD-1010</t>
  </si>
  <si>
    <t>2025-01-29</t>
  </si>
  <si>
    <t>Sigma Stores</t>
  </si>
  <si>
    <t>Cap</t>
  </si>
  <si>
    <t>ORD-1011</t>
  </si>
  <si>
    <t>2024-04-24</t>
  </si>
  <si>
    <t>Pi Partners</t>
  </si>
  <si>
    <t>Pen Set</t>
  </si>
  <si>
    <t>ORD-1012</t>
  </si>
  <si>
    <t>Zeta Enterprises</t>
  </si>
  <si>
    <t>ORD-1013</t>
  </si>
  <si>
    <t>2024-02-29</t>
  </si>
  <si>
    <t>2024-03-07</t>
  </si>
  <si>
    <t>L. Moore</t>
  </si>
  <si>
    <t>Sofa</t>
  </si>
  <si>
    <t>ORD-1014</t>
  </si>
  <si>
    <t>2024-09-28</t>
  </si>
  <si>
    <t>2024-09-30</t>
  </si>
  <si>
    <t>Theta Group</t>
  </si>
  <si>
    <t>Jacket</t>
  </si>
  <si>
    <t>ORD-1015</t>
  </si>
  <si>
    <t>2024-09-10</t>
  </si>
  <si>
    <t>Alpha Traders</t>
  </si>
  <si>
    <t>ORD-1016</t>
  </si>
  <si>
    <t>ORD-1017</t>
  </si>
  <si>
    <t>2025-04-29</t>
  </si>
  <si>
    <t>2025-05-01</t>
  </si>
  <si>
    <t>Delta Corp</t>
  </si>
  <si>
    <t>T. Wilson</t>
  </si>
  <si>
    <t>ORD-1018</t>
  </si>
  <si>
    <t>2025-02-16</t>
  </si>
  <si>
    <t>ORD-1019</t>
  </si>
  <si>
    <t>2025-03-29</t>
  </si>
  <si>
    <t>2025-04-05</t>
  </si>
  <si>
    <t>ORD-1020</t>
  </si>
  <si>
    <t>2024-06-17</t>
  </si>
  <si>
    <t>2024-06-19</t>
  </si>
  <si>
    <t>T-Shirt</t>
  </si>
  <si>
    <t>ORD-1021</t>
  </si>
  <si>
    <t>2024-07-13</t>
  </si>
  <si>
    <t>Upsilon United</t>
  </si>
  <si>
    <t>ORD-1022</t>
  </si>
  <si>
    <t>2025-06-04</t>
  </si>
  <si>
    <t>Omega Outlets</t>
  </si>
  <si>
    <t>Smartphone</t>
  </si>
  <si>
    <t>ORD-1023</t>
  </si>
  <si>
    <t>2025-03-05</t>
  </si>
  <si>
    <t>2025-03-07</t>
  </si>
  <si>
    <t>Mu Merchants</t>
  </si>
  <si>
    <t>ORD-1024</t>
  </si>
  <si>
    <t>2024-01-10</t>
  </si>
  <si>
    <t>ORD-1025</t>
  </si>
  <si>
    <t>2025-01-13</t>
  </si>
  <si>
    <t>Tau Traders</t>
  </si>
  <si>
    <t>ORD-1026</t>
  </si>
  <si>
    <t>2024-05-17</t>
  </si>
  <si>
    <t>2024-05-20</t>
  </si>
  <si>
    <t>ORD-1027</t>
  </si>
  <si>
    <t>2024-09-14</t>
  </si>
  <si>
    <t>2024-09-19</t>
  </si>
  <si>
    <t>ORD-1028</t>
  </si>
  <si>
    <t>2025-07-18</t>
  </si>
  <si>
    <t>ORD-1029</t>
  </si>
  <si>
    <t>2024-05-10</t>
  </si>
  <si>
    <t>Beta Retail Co</t>
  </si>
  <si>
    <t>Headphones</t>
  </si>
  <si>
    <t>ORD-1030</t>
  </si>
  <si>
    <t>2024-08-30</t>
  </si>
  <si>
    <t>ORD-1031</t>
  </si>
  <si>
    <t>2024-06-12</t>
  </si>
  <si>
    <t>Monitor</t>
  </si>
  <si>
    <t>ORD-1032</t>
  </si>
  <si>
    <t>2024-01-25</t>
  </si>
  <si>
    <t>2024-01-27</t>
  </si>
  <si>
    <t>Filing Cabinet</t>
  </si>
  <si>
    <t>ORD-1033</t>
  </si>
  <si>
    <t>2024-04-28</t>
  </si>
  <si>
    <t>2024-05-05</t>
  </si>
  <si>
    <t>ORD-1034</t>
  </si>
  <si>
    <t>Bookshelf</t>
  </si>
  <si>
    <t>ORD-1035</t>
  </si>
  <si>
    <t>2025-03-17</t>
  </si>
  <si>
    <t>Keyboard</t>
  </si>
  <si>
    <t>ORD-1036</t>
  </si>
  <si>
    <t>Binder</t>
  </si>
  <si>
    <t>ORD-1037</t>
  </si>
  <si>
    <t>2025-07-15</t>
  </si>
  <si>
    <t>ORD-1038</t>
  </si>
  <si>
    <t>2024-06-22</t>
  </si>
  <si>
    <t>2024-06-27</t>
  </si>
  <si>
    <t>ORD-1039</t>
  </si>
  <si>
    <t>2024-01-26</t>
  </si>
  <si>
    <t>2024-01-29</t>
  </si>
  <si>
    <t>ORD-1040</t>
  </si>
  <si>
    <t>2025-02-13</t>
  </si>
  <si>
    <t>2025-02-17</t>
  </si>
  <si>
    <t>ORD-1041</t>
  </si>
  <si>
    <t>2024-05-04</t>
  </si>
  <si>
    <t>2024-05-06</t>
  </si>
  <si>
    <t>ORD-1042</t>
  </si>
  <si>
    <t>Jeans</t>
  </si>
  <si>
    <t>ORD-1043</t>
  </si>
  <si>
    <t>2024-12-09</t>
  </si>
  <si>
    <t>2024-12-16</t>
  </si>
  <si>
    <t>ORD-1044</t>
  </si>
  <si>
    <t>2024-12-04</t>
  </si>
  <si>
    <t>2024-12-07</t>
  </si>
  <si>
    <t>ORD-1045</t>
  </si>
  <si>
    <t>2024-01-07</t>
  </si>
  <si>
    <t>ORD-1046</t>
  </si>
  <si>
    <t>2024-06-18</t>
  </si>
  <si>
    <t>2024-06-20</t>
  </si>
  <si>
    <t>ORD-1047</t>
  </si>
  <si>
    <t>2025-04-17</t>
  </si>
  <si>
    <t>2025-04-23</t>
  </si>
  <si>
    <t>ORD-1048</t>
  </si>
  <si>
    <t>2024-09-15</t>
  </si>
  <si>
    <t>2024-09-17</t>
  </si>
  <si>
    <t>ORD-1049</t>
  </si>
  <si>
    <t>ORD-1050</t>
  </si>
  <si>
    <t>2025-01-15</t>
  </si>
  <si>
    <t>ORD-1051</t>
  </si>
  <si>
    <t>2024-07-22</t>
  </si>
  <si>
    <t>Tablet</t>
  </si>
  <si>
    <t>ORD-1052</t>
  </si>
  <si>
    <t>2025-06-29</t>
  </si>
  <si>
    <t>2025-07-05</t>
  </si>
  <si>
    <t>ORD-1053</t>
  </si>
  <si>
    <t>2025-12-25</t>
  </si>
  <si>
    <t>ORD-1054</t>
  </si>
  <si>
    <t>2024-09-08</t>
  </si>
  <si>
    <t>ORD-1055</t>
  </si>
  <si>
    <t>2025-05-14</t>
  </si>
  <si>
    <t>ORD-1056</t>
  </si>
  <si>
    <t>2024-09-04</t>
  </si>
  <si>
    <t>ORD-1057</t>
  </si>
  <si>
    <t>2025-02-18</t>
  </si>
  <si>
    <t>Nu Networks</t>
  </si>
  <si>
    <t>ORD-1058</t>
  </si>
  <si>
    <t>2024-10-04</t>
  </si>
  <si>
    <t>2024-10-06</t>
  </si>
  <si>
    <t>ORD-1059</t>
  </si>
  <si>
    <t>2025-05-10</t>
  </si>
  <si>
    <t>ORD-1060</t>
  </si>
  <si>
    <t>2024-10-07</t>
  </si>
  <si>
    <t>Lambda Inc</t>
  </si>
  <si>
    <t>ORD-1061</t>
  </si>
  <si>
    <t>2025-05-05</t>
  </si>
  <si>
    <t>2025-05-07</t>
  </si>
  <si>
    <t>ORD-1062</t>
  </si>
  <si>
    <t>2024-06-01</t>
  </si>
  <si>
    <t>ORD-1063</t>
  </si>
  <si>
    <t>ORD-1064</t>
  </si>
  <si>
    <t>2025-11-07</t>
  </si>
  <si>
    <t>2025-11-13</t>
  </si>
  <si>
    <t>ORD-1065</t>
  </si>
  <si>
    <t>2024-08-25</t>
  </si>
  <si>
    <t>2024-08-27</t>
  </si>
  <si>
    <t>ORD-1066</t>
  </si>
  <si>
    <t>2025-07-11</t>
  </si>
  <si>
    <t>2025-07-17</t>
  </si>
  <si>
    <t>ORD-1067</t>
  </si>
  <si>
    <t>2024-05-07</t>
  </si>
  <si>
    <t>2024-05-09</t>
  </si>
  <si>
    <t>ORD-1068</t>
  </si>
  <si>
    <t>2024-04-03</t>
  </si>
  <si>
    <t>ORD-1069</t>
  </si>
  <si>
    <t>2024-07-04</t>
  </si>
  <si>
    <t>2024-07-07</t>
  </si>
  <si>
    <t>ORD-1070</t>
  </si>
  <si>
    <t>2025-12-11</t>
  </si>
  <si>
    <t>2025-12-13</t>
  </si>
  <si>
    <t>ORD-1071</t>
  </si>
  <si>
    <t>2025-11-04</t>
  </si>
  <si>
    <t>ORD-1072</t>
  </si>
  <si>
    <t>2025-07-16</t>
  </si>
  <si>
    <t>2025-07-22</t>
  </si>
  <si>
    <t>ORD-1073</t>
  </si>
  <si>
    <t>2025-07-19</t>
  </si>
  <si>
    <t>2025-07-25</t>
  </si>
  <si>
    <t>ORD-1074</t>
  </si>
  <si>
    <t>2025-03-01</t>
  </si>
  <si>
    <t>2025-03-03</t>
  </si>
  <si>
    <t>ORD-1075</t>
  </si>
  <si>
    <t>2024-10-09</t>
  </si>
  <si>
    <t>2024-10-11</t>
  </si>
  <si>
    <t>ORD-1076</t>
  </si>
  <si>
    <t>2025-04-02</t>
  </si>
  <si>
    <t>2025-04-04</t>
  </si>
  <si>
    <t>ORD-1077</t>
  </si>
  <si>
    <t>2025-02-24</t>
  </si>
  <si>
    <t>ORD-1078</t>
  </si>
  <si>
    <t>2024-04-12</t>
  </si>
  <si>
    <t>ORD-1079</t>
  </si>
  <si>
    <t>ORD-1080</t>
  </si>
  <si>
    <t>2025-09-24</t>
  </si>
  <si>
    <t>2025-09-26</t>
  </si>
  <si>
    <t>ORD-1081</t>
  </si>
  <si>
    <t>ORD-1082</t>
  </si>
  <si>
    <t>2024-06-23</t>
  </si>
  <si>
    <t>2024-06-26</t>
  </si>
  <si>
    <t>ORD-1083</t>
  </si>
  <si>
    <t>2025-11-20</t>
  </si>
  <si>
    <t>ORD-1084</t>
  </si>
  <si>
    <t>2025-04-12</t>
  </si>
  <si>
    <t>2025-04-18</t>
  </si>
  <si>
    <t>ORD-1085</t>
  </si>
  <si>
    <t>2025-11-05</t>
  </si>
  <si>
    <t>ORD-1086</t>
  </si>
  <si>
    <t>2024-08-12</t>
  </si>
  <si>
    <t>ORD-1087</t>
  </si>
  <si>
    <t>2024-04-02</t>
  </si>
  <si>
    <t>2024-04-08</t>
  </si>
  <si>
    <t>ORD-1088</t>
  </si>
  <si>
    <t>2024-09-20</t>
  </si>
  <si>
    <t>2024-09-27</t>
  </si>
  <si>
    <t>ORD-1089</t>
  </si>
  <si>
    <t>2024-04-05</t>
  </si>
  <si>
    <t>ORD-1090</t>
  </si>
  <si>
    <t>2024-04-20</t>
  </si>
  <si>
    <t>ORD-1091</t>
  </si>
  <si>
    <t>2024-04-29</t>
  </si>
  <si>
    <t>ORD-1092</t>
  </si>
  <si>
    <t>2025-11-17</t>
  </si>
  <si>
    <t>2025-11-19</t>
  </si>
  <si>
    <t>ORD-1093</t>
  </si>
  <si>
    <t>2025-03-30</t>
  </si>
  <si>
    <t>ORD-1094</t>
  </si>
  <si>
    <t>ORD-1095</t>
  </si>
  <si>
    <t>2024-08-26</t>
  </si>
  <si>
    <t>ORD-1096</t>
  </si>
  <si>
    <t>2024-01-16</t>
  </si>
  <si>
    <t>2024-01-20</t>
  </si>
  <si>
    <t>ORD-1097</t>
  </si>
  <si>
    <t>2025-05-02</t>
  </si>
  <si>
    <t>ORD-1098</t>
  </si>
  <si>
    <t>ORD-1099</t>
  </si>
  <si>
    <t>2025-09-14</t>
  </si>
  <si>
    <t>2025-09-16</t>
  </si>
  <si>
    <t>ORD-1100</t>
  </si>
  <si>
    <t>2025-12-19</t>
  </si>
  <si>
    <t>2025-12-21</t>
  </si>
  <si>
    <t>ORD-1101</t>
  </si>
  <si>
    <t>2024-11-16</t>
  </si>
  <si>
    <t>ORD-1102</t>
  </si>
  <si>
    <t>2025-01-16</t>
  </si>
  <si>
    <t>ORD-1103</t>
  </si>
  <si>
    <t>2024-10-21</t>
  </si>
  <si>
    <t>2024-10-27</t>
  </si>
  <si>
    <t>ORD-1104</t>
  </si>
  <si>
    <t>2024-10-12</t>
  </si>
  <si>
    <t>ORD-1105</t>
  </si>
  <si>
    <t>2024-12-13</t>
  </si>
  <si>
    <t>2024-12-18</t>
  </si>
  <si>
    <t>ORD-1106</t>
  </si>
  <si>
    <t>ORD-1107</t>
  </si>
  <si>
    <t>2024-06-10</t>
  </si>
  <si>
    <t>ORD-1108</t>
  </si>
  <si>
    <t>2024-12-19</t>
  </si>
  <si>
    <t>ORD-1109</t>
  </si>
  <si>
    <t>2024-07-28</t>
  </si>
  <si>
    <t>2024-07-31</t>
  </si>
  <si>
    <t>ORD-1110</t>
  </si>
  <si>
    <t>2025-07-02</t>
  </si>
  <si>
    <t>ORD-1111</t>
  </si>
  <si>
    <t>2025-08-12</t>
  </si>
  <si>
    <t>2025-08-19</t>
  </si>
  <si>
    <t>ORD-1112</t>
  </si>
  <si>
    <t>2024-03-31</t>
  </si>
  <si>
    <t>ORD-1113</t>
  </si>
  <si>
    <t>2024-06-21</t>
  </si>
  <si>
    <t>ORD-1114</t>
  </si>
  <si>
    <t>2024-04-15</t>
  </si>
  <si>
    <t>ORD-1115</t>
  </si>
  <si>
    <t>2025-11-28</t>
  </si>
  <si>
    <t>2025-12-01</t>
  </si>
  <si>
    <t>ORD-1116</t>
  </si>
  <si>
    <t>2025-06-03</t>
  </si>
  <si>
    <t>2025-06-07</t>
  </si>
  <si>
    <t>ORD-1117</t>
  </si>
  <si>
    <t>ORD-1118</t>
  </si>
  <si>
    <t>2025-05-31</t>
  </si>
  <si>
    <t>ORD-1119</t>
  </si>
  <si>
    <t>2025-02-22</t>
  </si>
  <si>
    <t>2025-02-25</t>
  </si>
  <si>
    <t>ORD-1120</t>
  </si>
  <si>
    <t>2024-03-24</t>
  </si>
  <si>
    <t>ORD-1121</t>
  </si>
  <si>
    <t>2025-11-24</t>
  </si>
  <si>
    <t>ORD-1122</t>
  </si>
  <si>
    <t>2024-08-19</t>
  </si>
  <si>
    <t>ORD-1123</t>
  </si>
  <si>
    <t>2025-10-01</t>
  </si>
  <si>
    <t>ORD-1124</t>
  </si>
  <si>
    <t>ORD-1125</t>
  </si>
  <si>
    <t>2025-01-11</t>
  </si>
  <si>
    <t>ORD-1126</t>
  </si>
  <si>
    <t>2025-01-20</t>
  </si>
  <si>
    <t>ORD-1127</t>
  </si>
  <si>
    <t>2024-04-07</t>
  </si>
  <si>
    <t>ORD-1128</t>
  </si>
  <si>
    <t>2024-08-17</t>
  </si>
  <si>
    <t>2024-08-22</t>
  </si>
  <si>
    <t>ORD-1129</t>
  </si>
  <si>
    <t>2025-04-08</t>
  </si>
  <si>
    <t>ORD-1130</t>
  </si>
  <si>
    <t>2024-08-31</t>
  </si>
  <si>
    <t>ORD-1131</t>
  </si>
  <si>
    <t>2025-10-09</t>
  </si>
  <si>
    <t>ORD-1132</t>
  </si>
  <si>
    <t>2024-03-10</t>
  </si>
  <si>
    <t>2024-03-12</t>
  </si>
  <si>
    <t>ORD-1133</t>
  </si>
  <si>
    <t>2025-11-03</t>
  </si>
  <si>
    <t>2025-11-06</t>
  </si>
  <si>
    <t>ORD-1134</t>
  </si>
  <si>
    <t>2025-10-08</t>
  </si>
  <si>
    <t>2025-10-11</t>
  </si>
  <si>
    <t>ORD-1135</t>
  </si>
  <si>
    <t>2025-06-11</t>
  </si>
  <si>
    <t>ORD-1136</t>
  </si>
  <si>
    <t>ORD-1137</t>
  </si>
  <si>
    <t>2025-03-10</t>
  </si>
  <si>
    <t>2025-03-13</t>
  </si>
  <si>
    <t>ORD-1138</t>
  </si>
  <si>
    <t>ORD-1139</t>
  </si>
  <si>
    <t>2025-01-07</t>
  </si>
  <si>
    <t>ORD-1140</t>
  </si>
  <si>
    <t>2025-08-03</t>
  </si>
  <si>
    <t>2025-08-06</t>
  </si>
  <si>
    <t>ORD-1141</t>
  </si>
  <si>
    <t>2024-11-17</t>
  </si>
  <si>
    <t>2024-11-20</t>
  </si>
  <si>
    <t>ORD-1142</t>
  </si>
  <si>
    <t>2024-08-07</t>
  </si>
  <si>
    <t>2024-08-11</t>
  </si>
  <si>
    <t>ORD-1143</t>
  </si>
  <si>
    <t>2025-11-14</t>
  </si>
  <si>
    <t>2025-11-16</t>
  </si>
  <si>
    <t>ORD-1144</t>
  </si>
  <si>
    <t>ORD-1145</t>
  </si>
  <si>
    <t>2024-03-08</t>
  </si>
  <si>
    <t>2024-03-11</t>
  </si>
  <si>
    <t>ORD-1146</t>
  </si>
  <si>
    <t>2025-11-27</t>
  </si>
  <si>
    <t>ORD-1147</t>
  </si>
  <si>
    <t>2024-11-07</t>
  </si>
  <si>
    <t>ORD-1148</t>
  </si>
  <si>
    <t>2025-10-02</t>
  </si>
  <si>
    <t>ORD-1149</t>
  </si>
  <si>
    <t>2024-01-30</t>
  </si>
  <si>
    <t>ORD-1150</t>
  </si>
  <si>
    <t>2025-05-09</t>
  </si>
  <si>
    <t>ORD-1151</t>
  </si>
  <si>
    <t>2025-09-13</t>
  </si>
  <si>
    <t>2025-09-18</t>
  </si>
  <si>
    <t>ORD-1152</t>
  </si>
  <si>
    <t>ORD-1153</t>
  </si>
  <si>
    <t>2024-12-01</t>
  </si>
  <si>
    <t>2024-12-03</t>
  </si>
  <si>
    <t>ORD-1154</t>
  </si>
  <si>
    <t>2024-08-08</t>
  </si>
  <si>
    <t>ORD-1155</t>
  </si>
  <si>
    <t>2024-05-19</t>
  </si>
  <si>
    <t>ORD-1156</t>
  </si>
  <si>
    <t>2025-01-30</t>
  </si>
  <si>
    <t>2025-02-05</t>
  </si>
  <si>
    <t>ORD-1157</t>
  </si>
  <si>
    <t>2024-07-27</t>
  </si>
  <si>
    <t>ORD-1158</t>
  </si>
  <si>
    <t>ORD-1159</t>
  </si>
  <si>
    <t>2024-01-18</t>
  </si>
  <si>
    <t>ORD-1160</t>
  </si>
  <si>
    <t>2025-08-24</t>
  </si>
  <si>
    <t>ORD-1161</t>
  </si>
  <si>
    <t>ORD-1162</t>
  </si>
  <si>
    <t>2025-12-23</t>
  </si>
  <si>
    <t>ORD-1163</t>
  </si>
  <si>
    <t>2025-07-13</t>
  </si>
  <si>
    <t>ORD-1164</t>
  </si>
  <si>
    <t>2025-12-22</t>
  </si>
  <si>
    <t>ORD-1165</t>
  </si>
  <si>
    <t>2024-12-22</t>
  </si>
  <si>
    <t>ORD-1166</t>
  </si>
  <si>
    <t>2025-07-29</t>
  </si>
  <si>
    <t>ORD-1167</t>
  </si>
  <si>
    <t>2024-04-19</t>
  </si>
  <si>
    <t>ORD-1168</t>
  </si>
  <si>
    <t>2025-10-28</t>
  </si>
  <si>
    <t>2025-11-01</t>
  </si>
  <si>
    <t>ORD-1169</t>
  </si>
  <si>
    <t>ORD-1170</t>
  </si>
  <si>
    <t>2024-10-18</t>
  </si>
  <si>
    <t>ORD-1171</t>
  </si>
  <si>
    <t>2025-10-25</t>
  </si>
  <si>
    <t>ORD-1172</t>
  </si>
  <si>
    <t>2025-06-18</t>
  </si>
  <si>
    <t>ORD-1173</t>
  </si>
  <si>
    <t>ORD-1174</t>
  </si>
  <si>
    <t>2024-11-10</t>
  </si>
  <si>
    <t>ORD-1175</t>
  </si>
  <si>
    <t>2024-06-05</t>
  </si>
  <si>
    <t>ORD-1176</t>
  </si>
  <si>
    <t>2025-06-24</t>
  </si>
  <si>
    <t>ORD-1177</t>
  </si>
  <si>
    <t>2024-05-03</t>
  </si>
  <si>
    <t>ORD-1178</t>
  </si>
  <si>
    <t>ORD-1179</t>
  </si>
  <si>
    <t>2024-03-18</t>
  </si>
  <si>
    <t>ORD-1180</t>
  </si>
  <si>
    <t>2025-01-26</t>
  </si>
  <si>
    <t>ORD-1181</t>
  </si>
  <si>
    <t>2024-01-04</t>
  </si>
  <si>
    <t>ORD-1182</t>
  </si>
  <si>
    <t>2024-07-12</t>
  </si>
  <si>
    <t>2024-07-16</t>
  </si>
  <si>
    <t>ORD-1183</t>
  </si>
  <si>
    <t>2024-02-15</t>
  </si>
  <si>
    <t>2024-02-21</t>
  </si>
  <si>
    <t>ORD-1184</t>
  </si>
  <si>
    <t>2024-09-02</t>
  </si>
  <si>
    <t>ORD-1185</t>
  </si>
  <si>
    <t>2025-07-23</t>
  </si>
  <si>
    <t>ORD-1186</t>
  </si>
  <si>
    <t>2024-08-18</t>
  </si>
  <si>
    <t>2024-08-21</t>
  </si>
  <si>
    <t>ORD-1187</t>
  </si>
  <si>
    <t>2025-10-24</t>
  </si>
  <si>
    <t>ORD-1188</t>
  </si>
  <si>
    <t>2025-08-31</t>
  </si>
  <si>
    <t>ORD-1189</t>
  </si>
  <si>
    <t>2025-12-16</t>
  </si>
  <si>
    <t>ORD-1190</t>
  </si>
  <si>
    <t>2025-06-09</t>
  </si>
  <si>
    <t>2025-06-14</t>
  </si>
  <si>
    <t>ORD-1191</t>
  </si>
  <si>
    <t>2024-01-17</t>
  </si>
  <si>
    <t>ORD-1192</t>
  </si>
  <si>
    <t>2025-07-24</t>
  </si>
  <si>
    <t>ORD-1193</t>
  </si>
  <si>
    <t>2025-07-09</t>
  </si>
  <si>
    <t>2025-07-14</t>
  </si>
  <si>
    <t>ORD-1194</t>
  </si>
  <si>
    <t>ORD-1195</t>
  </si>
  <si>
    <t>2025-06-26</t>
  </si>
  <si>
    <t>2025-07-01</t>
  </si>
  <si>
    <t>ORD-1196</t>
  </si>
  <si>
    <t>2024-12-28</t>
  </si>
  <si>
    <t>2024-12-30</t>
  </si>
  <si>
    <t>ORD-1197</t>
  </si>
  <si>
    <t>ORD-1198</t>
  </si>
  <si>
    <t>2025-08-02</t>
  </si>
  <si>
    <t>ORD-1199</t>
  </si>
  <si>
    <t>2024-07-02</t>
  </si>
  <si>
    <t>ORD-1200</t>
  </si>
  <si>
    <t>ORD-1201</t>
  </si>
  <si>
    <t>2024-01-31</t>
  </si>
  <si>
    <t>ORD-1202</t>
  </si>
  <si>
    <t>2025-09-25</t>
  </si>
  <si>
    <t>ORD-1203</t>
  </si>
  <si>
    <t>2025-01-04</t>
  </si>
  <si>
    <t>ORD-1204</t>
  </si>
  <si>
    <t>ORD-1205</t>
  </si>
  <si>
    <t>2024-10-25</t>
  </si>
  <si>
    <t>ORD-1206</t>
  </si>
  <si>
    <t>2024-10-01</t>
  </si>
  <si>
    <t>2024-10-03</t>
  </si>
  <si>
    <t>ORD-1207</t>
  </si>
  <si>
    <t>ORD-1208</t>
  </si>
  <si>
    <t>2025-03-26</t>
  </si>
  <si>
    <t>ORD-1209</t>
  </si>
  <si>
    <t>2024-11-22</t>
  </si>
  <si>
    <t>2024-11-24</t>
  </si>
  <si>
    <t>ORD-1210</t>
  </si>
  <si>
    <t>2025-11-29</t>
  </si>
  <si>
    <t>2025-12-02</t>
  </si>
  <si>
    <t>ORD-1211</t>
  </si>
  <si>
    <t>2024-05-22</t>
  </si>
  <si>
    <t>2024-05-25</t>
  </si>
  <si>
    <t>ORD-1212</t>
  </si>
  <si>
    <t>2025-07-10</t>
  </si>
  <si>
    <t>ORD-1213</t>
  </si>
  <si>
    <t>2024-12-05</t>
  </si>
  <si>
    <t>2024-12-10</t>
  </si>
  <si>
    <t>ORD-1214</t>
  </si>
  <si>
    <t>2025-01-18</t>
  </si>
  <si>
    <t>ORD-1215</t>
  </si>
  <si>
    <t>ORD-1216</t>
  </si>
  <si>
    <t>2024-03-09</t>
  </si>
  <si>
    <t>ORD-1217</t>
  </si>
  <si>
    <t>2025-07-26</t>
  </si>
  <si>
    <t>ORD-1218</t>
  </si>
  <si>
    <t>2024-02-03</t>
  </si>
  <si>
    <t>ORD-1219</t>
  </si>
  <si>
    <t>2025-07-03</t>
  </si>
  <si>
    <t>ORD-1220</t>
  </si>
  <si>
    <t>2025-09-17</t>
  </si>
  <si>
    <t>2025-09-19</t>
  </si>
  <si>
    <t>ORD-1221</t>
  </si>
  <si>
    <t>2025-11-26</t>
  </si>
  <si>
    <t>ORD-1222</t>
  </si>
  <si>
    <t>2025-08-11</t>
  </si>
  <si>
    <t>ORD-1223</t>
  </si>
  <si>
    <t>2025-01-02</t>
  </si>
  <si>
    <t>ORD-1224</t>
  </si>
  <si>
    <t>2025-05-15</t>
  </si>
  <si>
    <t>2025-05-18</t>
  </si>
  <si>
    <t>ORD-1225</t>
  </si>
  <si>
    <t>ORD-1226</t>
  </si>
  <si>
    <t>2024-04-14</t>
  </si>
  <si>
    <t>2024-04-16</t>
  </si>
  <si>
    <t>ORD-1227</t>
  </si>
  <si>
    <t>2025-08-25</t>
  </si>
  <si>
    <t>ORD-1228</t>
  </si>
  <si>
    <t>2024-11-27</t>
  </si>
  <si>
    <t>2024-12-02</t>
  </si>
  <si>
    <t>ORD-1229</t>
  </si>
  <si>
    <t>2024-09-12</t>
  </si>
  <si>
    <t>ORD-1230</t>
  </si>
  <si>
    <t>2025-10-10</t>
  </si>
  <si>
    <t>2025-10-13</t>
  </si>
  <si>
    <t>ORD-1231</t>
  </si>
  <si>
    <t>2025-10-12</t>
  </si>
  <si>
    <t>2025-10-14</t>
  </si>
  <si>
    <t>ORD-1232</t>
  </si>
  <si>
    <t>ORD-1233</t>
  </si>
  <si>
    <t>2025-03-14</t>
  </si>
  <si>
    <t>2025-03-19</t>
  </si>
  <si>
    <t>ORD-1234</t>
  </si>
  <si>
    <t>2025-02-09</t>
  </si>
  <si>
    <t>ORD-1235</t>
  </si>
  <si>
    <t>2024-01-09</t>
  </si>
  <si>
    <t>2024-01-13</t>
  </si>
  <si>
    <t>ORD-1236</t>
  </si>
  <si>
    <t>ORD-1237</t>
  </si>
  <si>
    <t>2024-08-06</t>
  </si>
  <si>
    <t>2024-08-13</t>
  </si>
  <si>
    <t>ORD-1238</t>
  </si>
  <si>
    <t>2025-03-15</t>
  </si>
  <si>
    <t>ORD-1239</t>
  </si>
  <si>
    <t>2024-07-29</t>
  </si>
  <si>
    <t>ORD-1240</t>
  </si>
  <si>
    <t>2025-01-06</t>
  </si>
  <si>
    <t>ORD-1241</t>
  </si>
  <si>
    <t>ORD-1242</t>
  </si>
  <si>
    <t>ORD-1243</t>
  </si>
  <si>
    <t>2025-02-04</t>
  </si>
  <si>
    <t>2025-02-08</t>
  </si>
  <si>
    <t>ORD-1244</t>
  </si>
  <si>
    <t>ORD-1245</t>
  </si>
  <si>
    <t>ORD-1246</t>
  </si>
  <si>
    <t>2025-04-11</t>
  </si>
  <si>
    <t>2025-04-13</t>
  </si>
  <si>
    <t>ORD-1247</t>
  </si>
  <si>
    <t>2025-06-05</t>
  </si>
  <si>
    <t>2025-06-08</t>
  </si>
  <si>
    <t>ORD-1248</t>
  </si>
  <si>
    <t>ORD-1249</t>
  </si>
  <si>
    <t>2024-08-16</t>
  </si>
  <si>
    <t>ORD-1250</t>
  </si>
  <si>
    <t>2025-07-31</t>
  </si>
  <si>
    <t>ORD-1251</t>
  </si>
  <si>
    <t>ORD-1252</t>
  </si>
  <si>
    <t>2024-04-21</t>
  </si>
  <si>
    <t>ORD-1253</t>
  </si>
  <si>
    <t>2025-12-18</t>
  </si>
  <si>
    <t>ORD-1254</t>
  </si>
  <si>
    <t>2025-11-11</t>
  </si>
  <si>
    <t>ORD-1255</t>
  </si>
  <si>
    <t>2024-03-17</t>
  </si>
  <si>
    <t>2024-03-23</t>
  </si>
  <si>
    <t>ORD-1256</t>
  </si>
  <si>
    <t>2025-04-07</t>
  </si>
  <si>
    <t>ORD-1257</t>
  </si>
  <si>
    <t>ORD-1258</t>
  </si>
  <si>
    <t>2025-02-20</t>
  </si>
  <si>
    <t>ORD-1259</t>
  </si>
  <si>
    <t>2024-05-13</t>
  </si>
  <si>
    <t>ORD-1260</t>
  </si>
  <si>
    <t>2024-04-04</t>
  </si>
  <si>
    <t>ORD-1261</t>
  </si>
  <si>
    <t>2025-11-30</t>
  </si>
  <si>
    <t>2025-12-03</t>
  </si>
  <si>
    <t>ORD-1262</t>
  </si>
  <si>
    <t>2025-05-25</t>
  </si>
  <si>
    <t>2025-05-27</t>
  </si>
  <si>
    <t>ORD-1263</t>
  </si>
  <si>
    <t>ORD-1264</t>
  </si>
  <si>
    <t>ORD-1265</t>
  </si>
  <si>
    <t>2025-06-30</t>
  </si>
  <si>
    <t>2025-07-06</t>
  </si>
  <si>
    <t>ORD-1266</t>
  </si>
  <si>
    <t>ORD-1267</t>
  </si>
  <si>
    <t>2025-09-08</t>
  </si>
  <si>
    <t>2025-09-11</t>
  </si>
  <si>
    <t>ORD-1268</t>
  </si>
  <si>
    <t>2024-03-01</t>
  </si>
  <si>
    <t>ORD-1269</t>
  </si>
  <si>
    <t>ORD-1270</t>
  </si>
  <si>
    <t>2025-11-12</t>
  </si>
  <si>
    <t>ORD-1271</t>
  </si>
  <si>
    <t>2024-07-05</t>
  </si>
  <si>
    <t>ORD-1272</t>
  </si>
  <si>
    <t>2025-10-15</t>
  </si>
  <si>
    <t>ORD-1273</t>
  </si>
  <si>
    <t>2024-02-19</t>
  </si>
  <si>
    <t>ORD-1274</t>
  </si>
  <si>
    <t>2024-06-15</t>
  </si>
  <si>
    <t>ORD-1275</t>
  </si>
  <si>
    <t>ORD-1276</t>
  </si>
  <si>
    <t>2024-02-24</t>
  </si>
  <si>
    <t>ORD-1277</t>
  </si>
  <si>
    <t>2024-09-07</t>
  </si>
  <si>
    <t>ORD-1278</t>
  </si>
  <si>
    <t>2024-04-11</t>
  </si>
  <si>
    <t>ORD-1279</t>
  </si>
  <si>
    <t>2025-10-19</t>
  </si>
  <si>
    <t>ORD-1280</t>
  </si>
  <si>
    <t>ORD-1281</t>
  </si>
  <si>
    <t>2025-06-19</t>
  </si>
  <si>
    <t>2025-06-21</t>
  </si>
  <si>
    <t>ORD-1282</t>
  </si>
  <si>
    <t>2025-04-09</t>
  </si>
  <si>
    <t>ORD-1283</t>
  </si>
  <si>
    <t>2024-11-23</t>
  </si>
  <si>
    <t>ORD-1284</t>
  </si>
  <si>
    <t>2024-04-25</t>
  </si>
  <si>
    <t>2024-05-01</t>
  </si>
  <si>
    <t>ORD-1285</t>
  </si>
  <si>
    <t>ORD-1286</t>
  </si>
  <si>
    <t>2025-02-12</t>
  </si>
  <si>
    <t>ORD-1287</t>
  </si>
  <si>
    <t>ORD-1288</t>
  </si>
  <si>
    <t>2024-08-04</t>
  </si>
  <si>
    <t>ORD-1289</t>
  </si>
  <si>
    <t>2024-06-29</t>
  </si>
  <si>
    <t>ORD-1290</t>
  </si>
  <si>
    <t>2025-06-01</t>
  </si>
  <si>
    <t>ORD-1291</t>
  </si>
  <si>
    <t>2024-06-16</t>
  </si>
  <si>
    <t>ORD-1292</t>
  </si>
  <si>
    <t>ORD-1293</t>
  </si>
  <si>
    <t>ORD-1294</t>
  </si>
  <si>
    <t>2024-01-08</t>
  </si>
  <si>
    <t>2024-01-11</t>
  </si>
  <si>
    <t>ORD-1295</t>
  </si>
  <si>
    <t>2024-10-10</t>
  </si>
  <si>
    <t>2024-10-14</t>
  </si>
  <si>
    <t>ORD-1296</t>
  </si>
  <si>
    <t>2024-10-29</t>
  </si>
  <si>
    <t>ORD-1297</t>
  </si>
  <si>
    <t>2025-11-18</t>
  </si>
  <si>
    <t>2025-11-21</t>
  </si>
  <si>
    <t>ORD-1298</t>
  </si>
  <si>
    <t>ORD-1299</t>
  </si>
  <si>
    <t>ORD-1300</t>
  </si>
  <si>
    <t>2024-07-24</t>
  </si>
  <si>
    <t>ORD-1301</t>
  </si>
  <si>
    <t>ORD-1302</t>
  </si>
  <si>
    <t>2025-09-21</t>
  </si>
  <si>
    <t>ORD-1303</t>
  </si>
  <si>
    <t>2025-06-27</t>
  </si>
  <si>
    <t>ORD-1304</t>
  </si>
  <si>
    <t>ORD-1305</t>
  </si>
  <si>
    <t>2024-07-11</t>
  </si>
  <si>
    <t>ORD-1306</t>
  </si>
  <si>
    <t>2025-01-10</t>
  </si>
  <si>
    <t>ORD-1307</t>
  </si>
  <si>
    <t>2025-03-02</t>
  </si>
  <si>
    <t>ORD-1308</t>
  </si>
  <si>
    <t>2025-03-06</t>
  </si>
  <si>
    <t>2025-03-08</t>
  </si>
  <si>
    <t>ORD-1309</t>
  </si>
  <si>
    <t>2025-05-24</t>
  </si>
  <si>
    <t>2025-05-26</t>
  </si>
  <si>
    <t>ORD-1310</t>
  </si>
  <si>
    <t>2025-12-05</t>
  </si>
  <si>
    <t>ORD-1311</t>
  </si>
  <si>
    <t>ORD-1312</t>
  </si>
  <si>
    <t>2024-10-24</t>
  </si>
  <si>
    <t>2024-10-30</t>
  </si>
  <si>
    <t>ORD-1313</t>
  </si>
  <si>
    <t>2025-03-24</t>
  </si>
  <si>
    <t>2025-03-31</t>
  </si>
  <si>
    <t>ORD-1314</t>
  </si>
  <si>
    <t>ORD-1315</t>
  </si>
  <si>
    <t>2025-09-20</t>
  </si>
  <si>
    <t>ORD-1316</t>
  </si>
  <si>
    <t>ORD-1317</t>
  </si>
  <si>
    <t>2025-11-08</t>
  </si>
  <si>
    <t>ORD-1318</t>
  </si>
  <si>
    <t>ORD-1319</t>
  </si>
  <si>
    <t>2024-03-21</t>
  </si>
  <si>
    <t>ORD-1320</t>
  </si>
  <si>
    <t>ORD-1321</t>
  </si>
  <si>
    <t>2024-12-15</t>
  </si>
  <si>
    <t>ORD-1322</t>
  </si>
  <si>
    <t>2024-04-26</t>
  </si>
  <si>
    <t>ORD-1323</t>
  </si>
  <si>
    <t>2024-02-16</t>
  </si>
  <si>
    <t>2024-02-18</t>
  </si>
  <si>
    <t>ORD-1324</t>
  </si>
  <si>
    <t>ORD-1325</t>
  </si>
  <si>
    <t>ORD-1326</t>
  </si>
  <si>
    <t>2024-05-11</t>
  </si>
  <si>
    <t>ORD-1327</t>
  </si>
  <si>
    <t>2025-02-11</t>
  </si>
  <si>
    <t>ORD-1328</t>
  </si>
  <si>
    <t>ORD-1329</t>
  </si>
  <si>
    <t>2024-12-26</t>
  </si>
  <si>
    <t>ORD-1330</t>
  </si>
  <si>
    <t>2024-07-23</t>
  </si>
  <si>
    <t>ORD-1331</t>
  </si>
  <si>
    <t>ORD-1332</t>
  </si>
  <si>
    <t>2025-01-31</t>
  </si>
  <si>
    <t>ORD-1333</t>
  </si>
  <si>
    <t>ORD-1334</t>
  </si>
  <si>
    <t>ORD-1335</t>
  </si>
  <si>
    <t>2025-04-22</t>
  </si>
  <si>
    <t>ORD-1336</t>
  </si>
  <si>
    <t>ORD-1337</t>
  </si>
  <si>
    <t>ORD-1338</t>
  </si>
  <si>
    <t>2025-11-15</t>
  </si>
  <si>
    <t>ORD-1339</t>
  </si>
  <si>
    <t>2024-09-21</t>
  </si>
  <si>
    <t>ORD-1340</t>
  </si>
  <si>
    <t>ORD-1341</t>
  </si>
  <si>
    <t>2025-12-07</t>
  </si>
  <si>
    <t>ORD-1342</t>
  </si>
  <si>
    <t>2024-09-23</t>
  </si>
  <si>
    <t>ORD-1343</t>
  </si>
  <si>
    <t>ORD-1344</t>
  </si>
  <si>
    <t>2025-02-14</t>
  </si>
  <si>
    <t>ORD-1345</t>
  </si>
  <si>
    <t>2024-11-01</t>
  </si>
  <si>
    <t>2024-11-05</t>
  </si>
  <si>
    <t>ORD-1346</t>
  </si>
  <si>
    <t>2024-08-03</t>
  </si>
  <si>
    <t>ORD-1347</t>
  </si>
  <si>
    <t>ORD-1348</t>
  </si>
  <si>
    <t>2024-12-31</t>
  </si>
  <si>
    <t>ORD-1349</t>
  </si>
  <si>
    <t>2025-08-05</t>
  </si>
  <si>
    <t>ORD-1350</t>
  </si>
  <si>
    <t>2025-01-03</t>
  </si>
  <si>
    <t>ORD-1351</t>
  </si>
  <si>
    <t>2024-05-23</t>
  </si>
  <si>
    <t>ORD-1352</t>
  </si>
  <si>
    <t>2025-07-20</t>
  </si>
  <si>
    <t>ORD-1353</t>
  </si>
  <si>
    <t>2025-04-20</t>
  </si>
  <si>
    <t>ORD-1354</t>
  </si>
  <si>
    <t>2025-04-01</t>
  </si>
  <si>
    <t>ORD-1355</t>
  </si>
  <si>
    <t>2024-03-05</t>
  </si>
  <si>
    <t>ORD-1356</t>
  </si>
  <si>
    <t>2024-04-18</t>
  </si>
  <si>
    <t>ORD-1357</t>
  </si>
  <si>
    <t>2025-01-23</t>
  </si>
  <si>
    <t>ORD-1358</t>
  </si>
  <si>
    <t>ORD-1359</t>
  </si>
  <si>
    <t>2025-02-28</t>
  </si>
  <si>
    <t>ORD-1360</t>
  </si>
  <si>
    <t>ORD-1361</t>
  </si>
  <si>
    <t>ORD-1362</t>
  </si>
  <si>
    <t>ORD-1363</t>
  </si>
  <si>
    <t>2025-09-12</t>
  </si>
  <si>
    <t>ORD-1364</t>
  </si>
  <si>
    <t>2025-11-25</t>
  </si>
  <si>
    <t>ORD-1365</t>
  </si>
  <si>
    <t>ORD-1366</t>
  </si>
  <si>
    <t>2025-12-27</t>
  </si>
  <si>
    <t>2025-12-29</t>
  </si>
  <si>
    <t>ORD-1367</t>
  </si>
  <si>
    <t>2024-06-07</t>
  </si>
  <si>
    <t>ORD-1368</t>
  </si>
  <si>
    <t>2025-07-21</t>
  </si>
  <si>
    <t>ORD-1369</t>
  </si>
  <si>
    <t>2024-08-23</t>
  </si>
  <si>
    <t>ORD-1370</t>
  </si>
  <si>
    <t>2025-10-17</t>
  </si>
  <si>
    <t>ORD-1371</t>
  </si>
  <si>
    <t>ORD-1372</t>
  </si>
  <si>
    <t>2024-02-04</t>
  </si>
  <si>
    <t>2024-02-10</t>
  </si>
  <si>
    <t>ORD-1373</t>
  </si>
  <si>
    <t>2024-12-27</t>
  </si>
  <si>
    <t>ORD-1374</t>
  </si>
  <si>
    <t>ORD-1375</t>
  </si>
  <si>
    <t>2024-12-14</t>
  </si>
  <si>
    <t>ORD-1376</t>
  </si>
  <si>
    <t>2025-04-14</t>
  </si>
  <si>
    <t>ORD-1377</t>
  </si>
  <si>
    <t>2025-02-26</t>
  </si>
  <si>
    <t>2025-03-04</t>
  </si>
  <si>
    <t>ORD-1378</t>
  </si>
  <si>
    <t>ORD-1379</t>
  </si>
  <si>
    <t>ORD-1380</t>
  </si>
  <si>
    <t>ORD-1381</t>
  </si>
  <si>
    <t>2024-07-06</t>
  </si>
  <si>
    <t>2024-07-10</t>
  </si>
  <si>
    <t>ORD-1382</t>
  </si>
  <si>
    <t>2025-02-07</t>
  </si>
  <si>
    <t>2025-02-10</t>
  </si>
  <si>
    <t>ORD-1383</t>
  </si>
  <si>
    <t>2025-01-08</t>
  </si>
  <si>
    <t>ORD-1384</t>
  </si>
  <si>
    <t>ORD-1385</t>
  </si>
  <si>
    <t>2024-08-29</t>
  </si>
  <si>
    <t>2024-09-01</t>
  </si>
  <si>
    <t>ORD-1386</t>
  </si>
  <si>
    <t>2024-11-03</t>
  </si>
  <si>
    <t>ORD-1387</t>
  </si>
  <si>
    <t>ORD-1388</t>
  </si>
  <si>
    <t>2024-10-23</t>
  </si>
  <si>
    <t>ORD-1389</t>
  </si>
  <si>
    <t>2025-10-23</t>
  </si>
  <si>
    <t>ORD-1390</t>
  </si>
  <si>
    <t>ORD-1391</t>
  </si>
  <si>
    <t>ORD-1392</t>
  </si>
  <si>
    <t>2025-06-20</t>
  </si>
  <si>
    <t>2025-06-25</t>
  </si>
  <si>
    <t>ORD-1393</t>
  </si>
  <si>
    <t>ORD-1394</t>
  </si>
  <si>
    <t>ORD-1395</t>
  </si>
  <si>
    <t>2025-05-08</t>
  </si>
  <si>
    <t>2025-05-11</t>
  </si>
  <si>
    <t>ORD-1396</t>
  </si>
  <si>
    <t>2024-10-20</t>
  </si>
  <si>
    <t>2024-10-22</t>
  </si>
  <si>
    <t>ORD-1397</t>
  </si>
  <si>
    <t>ORD-1398</t>
  </si>
  <si>
    <t>2024-09-26</t>
  </si>
  <si>
    <t>ORD-1399</t>
  </si>
  <si>
    <t>ORD-1400</t>
  </si>
  <si>
    <t>Sales</t>
  </si>
  <si>
    <t>Profit</t>
  </si>
  <si>
    <t>Order Type</t>
  </si>
  <si>
    <t>Discount Tier</t>
  </si>
  <si>
    <t>Days To Ship</t>
  </si>
  <si>
    <t>Average_Quantity</t>
  </si>
  <si>
    <t>Average_Unitprice</t>
  </si>
  <si>
    <t>Max_Quantity</t>
  </si>
  <si>
    <t>Min_Quantity</t>
  </si>
  <si>
    <t>Max_Unitprice</t>
  </si>
  <si>
    <t>Min_Unitprice</t>
  </si>
  <si>
    <t>Region Target</t>
  </si>
  <si>
    <t xml:space="preserve">Region </t>
  </si>
  <si>
    <t>Quarterly Target</t>
  </si>
  <si>
    <t>Region Target Index Match</t>
  </si>
  <si>
    <t>Total_East</t>
  </si>
  <si>
    <t>Rank</t>
  </si>
  <si>
    <t>Column1</t>
  </si>
  <si>
    <t>Running Total</t>
  </si>
  <si>
    <t>Row Labels</t>
  </si>
  <si>
    <t>Grand Total</t>
  </si>
  <si>
    <t>Sum of Sales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</si>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</sst>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"/>
    <numFmt numFmtId="165" formatCode="&quot;₹&quot;\ #,##0.00"/>
    <numFmt numFmtId="167" formatCode="&quot;₹&quot;\ #,##0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1" fillId="0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1" fillId="0" borderId="8" xfId="2" applyBorder="1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  <xf numFmtId="167" fontId="3" fillId="0" borderId="3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167" fontId="2" fillId="2" borderId="5" xfId="0" applyNumberFormat="1" applyFont="1" applyFill="1" applyBorder="1" applyAlignment="1">
      <alignment horizontal="center" vertical="center"/>
    </xf>
    <xf numFmtId="167" fontId="1" fillId="0" borderId="1" xfId="1" applyNumberFormat="1" applyBorder="1" applyAlignment="1">
      <alignment horizontal="center" vertical="center"/>
    </xf>
    <xf numFmtId="167" fontId="1" fillId="0" borderId="8" xfId="1" applyNumberForma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33"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5" formatCode="&quot;₹&quot;\ #,##0.00"/>
    </dxf>
    <dxf>
      <numFmt numFmtId="165" formatCode="&quot;₹&quot;\ #,##0.00"/>
    </dxf>
    <dxf>
      <numFmt numFmtId="167" formatCode="&quot;₹&quot;\ #,##0"/>
    </dxf>
    <dxf>
      <numFmt numFmtId="165" formatCode="&quot;₹&quot;\ #,##0.00"/>
    </dxf>
    <dxf>
      <numFmt numFmtId="165" formatCode="&quot;₹&quot;\ #,##0.00"/>
    </dxf>
    <dxf>
      <numFmt numFmtId="167" formatCode="&quot;₹&quot;\ #,##0"/>
    </dxf>
    <dxf>
      <numFmt numFmtId="165" formatCode="&quot;₹&quot;\ #,##0.00"/>
    </dxf>
    <dxf>
      <numFmt numFmtId="165" formatCode="&quot;₹&quot;\ #,##0.0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7" formatCode="&quot;₹&quot;\ #,##0"/>
      <alignment horizontal="center" vertical="center" textRotation="0" wrapText="0" indent="0" justifyLastLine="0" shrinkToFit="0" readingOrder="0"/>
    </dxf>
    <dxf>
      <numFmt numFmtId="167" formatCode="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7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22.572424652775" createdVersion="8" refreshedVersion="8" minRefreshableVersion="3" recordCount="400" xr:uid="{46654E50-3F77-4347-820C-229628FB1714}">
  <cacheSource type="worksheet">
    <worksheetSource name="Table1"/>
  </cacheSource>
  <cacheFields count="22">
    <cacheField name="Order ID" numFmtId="0">
      <sharedItems count="400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  <s v="ORD-1151"/>
        <s v="ORD-1152"/>
        <s v="ORD-1153"/>
        <s v="ORD-1154"/>
        <s v="ORD-1155"/>
        <s v="ORD-1156"/>
        <s v="ORD-1157"/>
        <s v="ORD-1158"/>
        <s v="ORD-1159"/>
        <s v="ORD-1160"/>
        <s v="ORD-1161"/>
        <s v="ORD-1162"/>
        <s v="ORD-1163"/>
        <s v="ORD-1164"/>
        <s v="ORD-1165"/>
        <s v="ORD-1166"/>
        <s v="ORD-1167"/>
        <s v="ORD-1168"/>
        <s v="ORD-1169"/>
        <s v="ORD-1170"/>
        <s v="ORD-1171"/>
        <s v="ORD-1172"/>
        <s v="ORD-1173"/>
        <s v="ORD-1174"/>
        <s v="ORD-1175"/>
        <s v="ORD-1176"/>
        <s v="ORD-1177"/>
        <s v="ORD-1178"/>
        <s v="ORD-1179"/>
        <s v="ORD-1180"/>
        <s v="ORD-1181"/>
        <s v="ORD-1182"/>
        <s v="ORD-1183"/>
        <s v="ORD-1184"/>
        <s v="ORD-1185"/>
        <s v="ORD-1186"/>
        <s v="ORD-1187"/>
        <s v="ORD-1188"/>
        <s v="ORD-1189"/>
        <s v="ORD-1190"/>
        <s v="ORD-1191"/>
        <s v="ORD-1192"/>
        <s v="ORD-1193"/>
        <s v="ORD-1194"/>
        <s v="ORD-1195"/>
        <s v="ORD-1196"/>
        <s v="ORD-1197"/>
        <s v="ORD-1198"/>
        <s v="ORD-1199"/>
        <s v="ORD-1200"/>
        <s v="ORD-1201"/>
        <s v="ORD-1202"/>
        <s v="ORD-1203"/>
        <s v="ORD-1204"/>
        <s v="ORD-1205"/>
        <s v="ORD-1206"/>
        <s v="ORD-1207"/>
        <s v="ORD-1208"/>
        <s v="ORD-1209"/>
        <s v="ORD-1210"/>
        <s v="ORD-1211"/>
        <s v="ORD-1212"/>
        <s v="ORD-1213"/>
        <s v="ORD-1214"/>
        <s v="ORD-1215"/>
        <s v="ORD-1216"/>
        <s v="ORD-1217"/>
        <s v="ORD-1218"/>
        <s v="ORD-1219"/>
        <s v="ORD-1220"/>
        <s v="ORD-1221"/>
        <s v="ORD-1222"/>
        <s v="ORD-1223"/>
        <s v="ORD-1224"/>
        <s v="ORD-1225"/>
        <s v="ORD-1226"/>
        <s v="ORD-1227"/>
        <s v="ORD-1228"/>
        <s v="ORD-1229"/>
        <s v="ORD-1230"/>
        <s v="ORD-1231"/>
        <s v="ORD-1232"/>
        <s v="ORD-1233"/>
        <s v="ORD-1234"/>
        <s v="ORD-1235"/>
        <s v="ORD-1236"/>
        <s v="ORD-1237"/>
        <s v="ORD-1238"/>
        <s v="ORD-1239"/>
        <s v="ORD-1240"/>
        <s v="ORD-1241"/>
        <s v="ORD-1242"/>
        <s v="ORD-1243"/>
        <s v="ORD-1244"/>
        <s v="ORD-1245"/>
        <s v="ORD-1246"/>
        <s v="ORD-1247"/>
        <s v="ORD-1248"/>
        <s v="ORD-1249"/>
        <s v="ORD-1250"/>
        <s v="ORD-1251"/>
        <s v="ORD-1252"/>
        <s v="ORD-1253"/>
        <s v="ORD-1254"/>
        <s v="ORD-1255"/>
        <s v="ORD-1256"/>
        <s v="ORD-1257"/>
        <s v="ORD-1258"/>
        <s v="ORD-1259"/>
        <s v="ORD-1260"/>
        <s v="ORD-1261"/>
        <s v="ORD-1262"/>
        <s v="ORD-1263"/>
        <s v="ORD-1264"/>
        <s v="ORD-1265"/>
        <s v="ORD-1266"/>
        <s v="ORD-1267"/>
        <s v="ORD-1268"/>
        <s v="ORD-1269"/>
        <s v="ORD-1270"/>
        <s v="ORD-1271"/>
        <s v="ORD-1272"/>
        <s v="ORD-1273"/>
        <s v="ORD-1274"/>
        <s v="ORD-1275"/>
        <s v="ORD-1276"/>
        <s v="ORD-1277"/>
        <s v="ORD-1278"/>
        <s v="ORD-1279"/>
        <s v="ORD-1280"/>
        <s v="ORD-1281"/>
        <s v="ORD-1282"/>
        <s v="ORD-1283"/>
        <s v="ORD-1284"/>
        <s v="ORD-1285"/>
        <s v="ORD-1286"/>
        <s v="ORD-1287"/>
        <s v="ORD-1288"/>
        <s v="ORD-1289"/>
        <s v="ORD-1290"/>
        <s v="ORD-1291"/>
        <s v="ORD-1292"/>
        <s v="ORD-1293"/>
        <s v="ORD-1294"/>
        <s v="ORD-1295"/>
        <s v="ORD-1296"/>
        <s v="ORD-1297"/>
        <s v="ORD-1298"/>
        <s v="ORD-1299"/>
        <s v="ORD-1300"/>
        <s v="ORD-1301"/>
        <s v="ORD-1302"/>
        <s v="ORD-1303"/>
        <s v="ORD-1304"/>
        <s v="ORD-1305"/>
        <s v="ORD-1306"/>
        <s v="ORD-1307"/>
        <s v="ORD-1308"/>
        <s v="ORD-1309"/>
        <s v="ORD-1310"/>
        <s v="ORD-1311"/>
        <s v="ORD-1312"/>
        <s v="ORD-1313"/>
        <s v="ORD-1314"/>
        <s v="ORD-1315"/>
        <s v="ORD-1316"/>
        <s v="ORD-1317"/>
        <s v="ORD-1318"/>
        <s v="ORD-1319"/>
        <s v="ORD-1320"/>
        <s v="ORD-1321"/>
        <s v="ORD-1322"/>
        <s v="ORD-1323"/>
        <s v="ORD-1324"/>
        <s v="ORD-1325"/>
        <s v="ORD-1326"/>
        <s v="ORD-1327"/>
        <s v="ORD-1328"/>
        <s v="ORD-1329"/>
        <s v="ORD-1330"/>
        <s v="ORD-1331"/>
        <s v="ORD-1332"/>
        <s v="ORD-1333"/>
        <s v="ORD-1334"/>
        <s v="ORD-1335"/>
        <s v="ORD-1336"/>
        <s v="ORD-1337"/>
        <s v="ORD-1338"/>
        <s v="ORD-1339"/>
        <s v="ORD-1340"/>
        <s v="ORD-1341"/>
        <s v="ORD-1342"/>
        <s v="ORD-1343"/>
        <s v="ORD-1344"/>
        <s v="ORD-1345"/>
        <s v="ORD-1346"/>
        <s v="ORD-1347"/>
        <s v="ORD-1348"/>
        <s v="ORD-1349"/>
        <s v="ORD-1350"/>
        <s v="ORD-1351"/>
        <s v="ORD-1352"/>
        <s v="ORD-1353"/>
        <s v="ORD-1354"/>
        <s v="ORD-1355"/>
        <s v="ORD-1356"/>
        <s v="ORD-1357"/>
        <s v="ORD-1358"/>
        <s v="ORD-1359"/>
        <s v="ORD-1360"/>
        <s v="ORD-1361"/>
        <s v="ORD-1362"/>
        <s v="ORD-1363"/>
        <s v="ORD-1364"/>
        <s v="ORD-1365"/>
        <s v="ORD-1366"/>
        <s v="ORD-1367"/>
        <s v="ORD-1368"/>
        <s v="ORD-1369"/>
        <s v="ORD-1370"/>
        <s v="ORD-1371"/>
        <s v="ORD-1372"/>
        <s v="ORD-1373"/>
        <s v="ORD-1374"/>
        <s v="ORD-1375"/>
        <s v="ORD-1376"/>
        <s v="ORD-1377"/>
        <s v="ORD-1378"/>
        <s v="ORD-1379"/>
        <s v="ORD-1380"/>
        <s v="ORD-1381"/>
        <s v="ORD-1382"/>
        <s v="ORD-1383"/>
        <s v="ORD-1384"/>
        <s v="ORD-1385"/>
        <s v="ORD-1386"/>
        <s v="ORD-1387"/>
        <s v="ORD-1388"/>
        <s v="ORD-1389"/>
        <s v="ORD-1390"/>
        <s v="ORD-1391"/>
        <s v="ORD-1392"/>
        <s v="ORD-1393"/>
        <s v="ORD-1394"/>
        <s v="ORD-1395"/>
        <s v="ORD-1396"/>
        <s v="ORD-1397"/>
        <s v="ORD-1398"/>
        <s v="ORD-1399"/>
        <s v="ORD-1400"/>
      </sharedItems>
    </cacheField>
    <cacheField name="Order Date" numFmtId="164">
      <sharedItems count="312">
        <s v="2025-10-16"/>
        <s v="2024-02-02"/>
        <s v="2025-08-26"/>
        <s v="2024-04-09"/>
        <s v="2025-08-14"/>
        <s v="2025-01-14"/>
        <s v="2024-02-27"/>
        <s v="2025-11-02"/>
        <s v="2025-01-05"/>
        <s v="2025-01-29"/>
        <s v="2024-04-24"/>
        <s v="2024-02-29"/>
        <s v="2024-09-28"/>
        <s v="2024-09-10"/>
        <s v="2025-04-29"/>
        <s v="2025-02-16"/>
        <s v="2025-03-29"/>
        <s v="2024-06-17"/>
        <s v="2024-07-13"/>
        <s v="2025-06-04"/>
        <s v="2025-03-05"/>
        <s v="2024-01-10"/>
        <s v="2025-01-13"/>
        <s v="2024-05-17"/>
        <s v="2024-09-14"/>
        <s v="2025-07-18"/>
        <s v="2024-05-10"/>
        <s v="2024-08-30"/>
        <s v="2024-06-12"/>
        <s v="2024-01-25"/>
        <s v="2024-04-28"/>
        <s v="2025-03-17"/>
        <s v="2025-07-15"/>
        <s v="2024-06-22"/>
        <s v="2024-01-26"/>
        <s v="2025-02-13"/>
        <s v="2024-05-04"/>
        <s v="2025-05-01"/>
        <s v="2024-12-09"/>
        <s v="2024-12-04"/>
        <s v="2024-01-07"/>
        <s v="2024-06-18"/>
        <s v="2025-04-17"/>
        <s v="2024-09-15"/>
        <s v="2025-01-12"/>
        <s v="2024-07-22"/>
        <s v="2025-06-29"/>
        <s v="2025-12-25"/>
        <s v="2024-09-08"/>
        <s v="2025-05-14"/>
        <s v="2024-09-04"/>
        <s v="2025-02-18"/>
        <s v="2024-10-04"/>
        <s v="2025-05-10"/>
        <s v="2024-10-07"/>
        <s v="2025-05-05"/>
        <s v="2024-06-01"/>
        <s v="2025-11-07"/>
        <s v="2024-08-25"/>
        <s v="2025-07-11"/>
        <s v="2024-05-07"/>
        <s v="2024-04-03"/>
        <s v="2024-07-04"/>
        <s v="2025-12-11"/>
        <s v="2025-11-04"/>
        <s v="2025-07-16"/>
        <s v="2025-07-19"/>
        <s v="2025-03-01"/>
        <s v="2024-10-09"/>
        <s v="2025-04-02"/>
        <s v="2025-02-24"/>
        <s v="2024-04-12"/>
        <s v="2025-09-24"/>
        <s v="2024-06-23"/>
        <s v="2025-11-13"/>
        <s v="2025-04-12"/>
        <s v="2025-11-05"/>
        <s v="2024-08-12"/>
        <s v="2024-04-02"/>
        <s v="2024-09-20"/>
        <s v="2024-04-20"/>
        <s v="2024-04-29"/>
        <s v="2025-11-17"/>
        <s v="2025-03-30"/>
        <s v="2024-08-26"/>
        <s v="2024-01-16"/>
        <s v="2025-05-02"/>
        <s v="2025-10-20"/>
        <s v="2025-09-14"/>
        <s v="2025-12-19"/>
        <s v="2024-11-16"/>
        <s v="2025-01-16"/>
        <s v="2024-10-21"/>
        <s v="2024-10-12"/>
        <s v="2024-12-13"/>
        <s v="2024-06-10"/>
        <s v="2024-12-19"/>
        <s v="2024-07-28"/>
        <s v="2025-08-12"/>
        <s v="2024-03-31"/>
        <s v="2024-06-21"/>
        <s v="2024-04-15"/>
        <s v="2025-11-28"/>
        <s v="2025-06-03"/>
        <s v="2025-04-18"/>
        <s v="2025-05-31"/>
        <s v="2025-02-22"/>
        <s v="2024-03-24"/>
        <s v="2024-08-19"/>
        <s v="2025-01-11"/>
        <s v="2025-01-15"/>
        <s v="2024-08-17"/>
        <s v="2025-04-04"/>
        <s v="2024-08-31"/>
        <s v="2025-10-09"/>
        <s v="2024-03-10"/>
        <s v="2025-11-03"/>
        <s v="2025-10-08"/>
        <s v="2025-06-11"/>
        <s v="2025-03-10"/>
        <s v="2024-06-19"/>
        <s v="2025-01-07"/>
        <s v="2025-08-03"/>
        <s v="2024-11-17"/>
        <s v="2024-08-07"/>
        <s v="2025-11-14"/>
        <s v="2024-03-08"/>
        <s v="2025-11-27"/>
        <s v="2024-11-07"/>
        <s v="2025-10-02"/>
        <s v="2024-01-30"/>
        <s v="2025-05-09"/>
        <s v="2025-09-13"/>
        <s v="2024-05-05"/>
        <s v="2024-12-01"/>
        <s v="2024-08-08"/>
        <s v="2025-01-30"/>
        <s v="2024-01-18"/>
        <s v="2025-08-20"/>
        <s v="2024-01-20"/>
        <s v="2025-12-23"/>
        <s v="2025-07-13"/>
        <s v="2025-12-22"/>
        <s v="2025-07-29"/>
        <s v="2025-10-28"/>
        <s v="2025-03-03"/>
        <s v="2024-10-18"/>
        <s v="2025-10-25"/>
        <s v="2024-11-10"/>
        <s v="2024-06-05"/>
        <s v="2025-06-24"/>
        <s v="2025-11-19"/>
        <s v="2024-03-11"/>
        <s v="2025-01-26"/>
        <s v="2024-01-04"/>
        <s v="2024-07-12"/>
        <s v="2024-02-15"/>
        <s v="2025-07-23"/>
        <s v="2024-08-18"/>
        <s v="2025-10-24"/>
        <s v="2025-08-24"/>
        <s v="2025-12-13"/>
        <s v="2025-06-09"/>
        <s v="2024-01-17"/>
        <s v="2025-07-17"/>
        <s v="2025-07-09"/>
        <s v="2024-08-11"/>
        <s v="2025-06-26"/>
        <s v="2024-12-28"/>
        <s v="2024-04-05"/>
        <s v="2025-08-02"/>
        <s v="2024-07-02"/>
        <s v="2025-11-24"/>
        <s v="2024-01-31"/>
        <s v="2025-09-25"/>
        <s v="2025-01-04"/>
        <s v="2025-07-24"/>
        <s v="2024-10-25"/>
        <s v="2024-10-01"/>
        <s v="2025-03-26"/>
        <s v="2024-11-22"/>
        <s v="2025-11-29"/>
        <s v="2024-05-22"/>
        <s v="2025-07-10"/>
        <s v="2024-12-05"/>
        <s v="2025-01-18"/>
        <s v="2024-05-25"/>
        <s v="2024-03-09"/>
        <s v="2025-07-03"/>
        <s v="2025-09-17"/>
        <s v="2025-08-11"/>
        <s v="2025-01-02"/>
        <s v="2025-05-15"/>
        <s v="2024-04-14"/>
        <s v="2025-08-25"/>
        <s v="2024-11-27"/>
        <s v="2024-09-12"/>
        <s v="2025-10-10"/>
        <s v="2025-10-12"/>
        <s v="2025-03-14"/>
        <s v="2025-02-09"/>
        <s v="2024-01-09"/>
        <s v="2024-08-06"/>
        <s v="2025-03-15"/>
        <s v="2024-07-29"/>
        <s v="2025-02-04"/>
        <s v="2025-04-11"/>
        <s v="2025-06-05"/>
        <s v="2024-08-16"/>
        <s v="2025-07-31"/>
        <s v="2024-04-16"/>
        <s v="2025-12-18"/>
        <s v="2025-11-09"/>
        <s v="2024-03-17"/>
        <s v="2025-04-07"/>
        <s v="2024-05-13"/>
        <s v="2024-04-04"/>
        <s v="2025-11-30"/>
        <s v="2025-05-25"/>
        <s v="2025-06-30"/>
        <s v="2025-12-21"/>
        <s v="2025-09-08"/>
        <s v="2024-03-01"/>
        <s v="2024-12-10"/>
        <s v="2025-11-12"/>
        <s v="2024-07-05"/>
        <s v="2025-10-13"/>
        <s v="2024-02-19"/>
        <s v="2024-06-15"/>
        <s v="2024-02-24"/>
        <s v="2025-10-19"/>
        <s v="2025-06-19"/>
        <s v="2024-11-23"/>
        <s v="2024-04-25"/>
        <s v="2024-09-27"/>
        <s v="2024-08-04"/>
        <s v="2024-06-26"/>
        <s v="2025-06-01"/>
        <s v="2024-06-16"/>
        <s v="2024-01-08"/>
        <s v="2024-10-10"/>
        <s v="2024-10-29"/>
        <s v="2025-11-18"/>
        <s v="2025-11-01"/>
        <s v="2024-07-24"/>
        <s v="2025-10-11"/>
        <s v="2025-09-21"/>
        <s v="2025-06-27"/>
        <s v="2024-03-07"/>
        <s v="2024-07-11"/>
        <s v="2025-01-10"/>
        <s v="2025-03-02"/>
        <s v="2025-03-06"/>
        <s v="2025-05-24"/>
        <s v="2025-12-05"/>
        <s v="2024-10-24"/>
        <s v="2025-03-24"/>
        <s v="2025-03-07"/>
        <s v="2025-11-08"/>
        <s v="2024-03-21"/>
        <s v="2025-02-17"/>
        <s v="2024-12-15"/>
        <s v="2024-04-26"/>
        <s v="2024-02-16"/>
        <s v="2025-04-13"/>
        <s v="2024-05-11"/>
        <s v="2025-02-11"/>
        <s v="2024-12-26"/>
        <s v="2024-07-23"/>
        <s v="2025-04-08"/>
        <s v="2025-01-31"/>
        <s v="2025-04-22"/>
        <s v="2025-11-15"/>
        <s v="2024-09-19"/>
        <s v="2024-06-20"/>
        <s v="2025-12-03"/>
        <s v="2024-09-21"/>
        <s v="2025-02-08"/>
        <s v="2024-11-01"/>
        <s v="2024-08-03"/>
        <s v="2024-12-31"/>
        <s v="2025-01-03"/>
        <s v="2024-05-23"/>
        <s v="2025-04-20"/>
        <s v="2025-04-01"/>
        <s v="2024-03-05"/>
        <s v="2025-01-20"/>
        <s v="2025-02-28"/>
        <s v="2025-09-12"/>
        <s v="2025-11-25"/>
        <s v="2025-12-27"/>
        <s v="2024-06-07"/>
        <s v="2024-08-23"/>
        <s v="2025-02-14"/>
        <s v="2024-02-04"/>
        <s v="2024-12-27"/>
        <s v="2024-12-14"/>
        <s v="2025-04-14"/>
        <s v="2025-02-26"/>
        <s v="2025-07-21"/>
        <s v="2024-07-06"/>
        <s v="2025-02-07"/>
        <s v="2024-08-29"/>
        <s v="2024-11-03"/>
        <s v="2025-04-05"/>
        <s v="2025-10-17"/>
        <s v="2025-09-11"/>
        <s v="2025-06-20"/>
        <s v="2025-05-08"/>
        <s v="2024-10-20"/>
        <s v="2024-09-26"/>
        <s v="2025-07-01"/>
      </sharedItems>
    </cacheField>
    <cacheField name="Ship Date" numFmtId="164">
      <sharedItems count="301">
        <s v="2025-10-20"/>
        <s v="2024-02-02"/>
        <s v="2025-08-29"/>
        <s v="2024-04-09"/>
        <s v="2025-08-20"/>
        <s v="2025-01-14"/>
        <s v="2024-03-04"/>
        <s v="2025-11-09"/>
        <s v="2025-01-12"/>
        <s v="2025-01-29"/>
        <s v="2024-04-24"/>
        <s v="2025-10-16"/>
        <s v="2024-03-07"/>
        <s v="2024-09-30"/>
        <s v="2024-09-10"/>
        <s v="2025-05-01"/>
        <s v="2025-02-16"/>
        <s v="2025-04-05"/>
        <s v="2024-06-19"/>
        <s v="2024-07-13"/>
        <s v="2025-06-04"/>
        <s v="2025-03-07"/>
        <s v="2024-01-10"/>
        <s v="2025-01-13"/>
        <s v="2024-05-20"/>
        <s v="2024-09-19"/>
        <s v="2025-07-18"/>
        <s v="2024-05-17"/>
        <s v="2024-08-30"/>
        <s v="2024-06-17"/>
        <s v="2024-01-27"/>
        <s v="2024-05-05"/>
        <s v="2025-03-17"/>
        <s v="2025-07-15"/>
        <s v="2024-06-27"/>
        <s v="2024-01-29"/>
        <s v="2025-02-17"/>
        <s v="2024-05-06"/>
        <s v="2024-12-16"/>
        <s v="2024-12-07"/>
        <s v="2024-06-20"/>
        <s v="2025-04-23"/>
        <s v="2024-09-17"/>
        <s v="2025-01-15"/>
        <s v="2024-07-22"/>
        <s v="2025-07-05"/>
        <s v="2025-12-25"/>
        <s v="2024-09-08"/>
        <s v="2025-05-14"/>
        <s v="2024-09-04"/>
        <s v="2025-02-18"/>
        <s v="2024-10-06"/>
        <s v="2024-10-07"/>
        <s v="2025-05-07"/>
        <s v="2024-06-01"/>
        <s v="2025-03-29"/>
        <s v="2025-11-13"/>
        <s v="2024-08-27"/>
        <s v="2025-07-17"/>
        <s v="2024-05-09"/>
        <s v="2024-04-03"/>
        <s v="2024-07-07"/>
        <s v="2025-12-13"/>
        <s v="2025-11-04"/>
        <s v="2025-07-22"/>
        <s v="2025-07-25"/>
        <s v="2025-03-03"/>
        <s v="2024-10-11"/>
        <s v="2025-04-04"/>
        <s v="2025-02-24"/>
        <s v="2024-04-12"/>
        <s v="2024-09-28"/>
        <s v="2025-09-26"/>
        <s v="2024-06-26"/>
        <s v="2025-11-20"/>
        <s v="2025-04-18"/>
        <s v="2025-11-05"/>
        <s v="2024-08-12"/>
        <s v="2024-04-08"/>
        <s v="2024-09-27"/>
        <s v="2024-04-05"/>
        <s v="2024-04-20"/>
        <s v="2025-11-19"/>
        <s v="2025-03-30"/>
        <s v="2024-01-20"/>
        <s v="2025-05-05"/>
        <s v="2025-09-16"/>
        <s v="2025-12-21"/>
        <s v="2024-11-16"/>
        <s v="2025-01-16"/>
        <s v="2024-10-27"/>
        <s v="2024-10-12"/>
        <s v="2024-12-18"/>
        <s v="2025-03-05"/>
        <s v="2024-06-10"/>
        <s v="2024-12-19"/>
        <s v="2024-07-31"/>
        <s v="2025-07-02"/>
        <s v="2025-08-19"/>
        <s v="2024-03-31"/>
        <s v="2024-06-23"/>
        <s v="2024-04-15"/>
        <s v="2025-12-01"/>
        <s v="2025-06-07"/>
        <s v="2025-05-31"/>
        <s v="2025-02-25"/>
        <s v="2024-03-24"/>
        <s v="2025-11-24"/>
        <s v="2024-08-19"/>
        <s v="2025-10-01"/>
        <s v="2025-01-20"/>
        <s v="2024-04-07"/>
        <s v="2024-08-22"/>
        <s v="2025-04-08"/>
        <s v="2024-08-31"/>
        <s v="2025-10-09"/>
        <s v="2024-03-12"/>
        <s v="2025-11-06"/>
        <s v="2025-10-11"/>
        <s v="2025-06-11"/>
        <s v="2025-03-13"/>
        <s v="2025-08-06"/>
        <s v="2024-11-20"/>
        <s v="2024-08-11"/>
        <s v="2025-11-16"/>
        <s v="2024-03-11"/>
        <s v="2024-11-07"/>
        <s v="2025-10-02"/>
        <s v="2024-01-30"/>
        <s v="2025-05-09"/>
        <s v="2025-09-18"/>
        <s v="2024-05-10"/>
        <s v="2024-12-03"/>
        <s v="2024-08-08"/>
        <s v="2024-05-19"/>
        <s v="2025-02-05"/>
        <s v="2024-07-27"/>
        <s v="2024-12-01"/>
        <s v="2024-01-18"/>
        <s v="2025-08-24"/>
        <s v="2025-12-23"/>
        <s v="2025-07-19"/>
        <s v="2025-12-22"/>
        <s v="2024-12-22"/>
        <s v="2025-08-03"/>
        <s v="2024-04-19"/>
        <s v="2025-11-01"/>
        <s v="2024-10-18"/>
        <s v="2025-10-25"/>
        <s v="2025-06-18"/>
        <s v="2024-11-10"/>
        <s v="2024-06-05"/>
        <s v="2025-06-24"/>
        <s v="2024-05-03"/>
        <s v="2024-03-18"/>
        <s v="2025-01-26"/>
        <s v="2024-01-04"/>
        <s v="2024-07-16"/>
        <s v="2024-02-21"/>
        <s v="2024-09-02"/>
        <s v="2025-07-23"/>
        <s v="2024-08-21"/>
        <s v="2025-10-28"/>
        <s v="2025-08-31"/>
        <s v="2025-12-16"/>
        <s v="2025-06-14"/>
        <s v="2025-07-24"/>
        <s v="2025-07-14"/>
        <s v="2025-07-01"/>
        <s v="2024-12-30"/>
        <s v="2025-08-02"/>
        <s v="2024-07-02"/>
        <s v="2024-01-31"/>
        <s v="2025-01-07"/>
        <s v="2024-10-25"/>
        <s v="2024-10-03"/>
        <s v="2024-11-24"/>
        <s v="2025-12-02"/>
        <s v="2024-05-25"/>
        <s v="2024-12-10"/>
        <s v="2024-03-09"/>
        <s v="2025-07-26"/>
        <s v="2024-02-03"/>
        <s v="2025-07-09"/>
        <s v="2025-09-19"/>
        <s v="2025-11-26"/>
        <s v="2025-08-11"/>
        <s v="2025-01-02"/>
        <s v="2025-05-18"/>
        <s v="2025-07-16"/>
        <s v="2024-04-16"/>
        <s v="2024-12-02"/>
        <s v="2025-10-13"/>
        <s v="2025-10-14"/>
        <s v="2025-03-19"/>
        <s v="2024-01-13"/>
        <s v="2025-01-18"/>
        <s v="2024-08-13"/>
        <s v="2025-01-06"/>
        <s v="2025-02-08"/>
        <s v="2025-04-13"/>
        <s v="2025-06-08"/>
        <s v="2025-07-31"/>
        <s v="2024-01-07"/>
        <s v="2024-04-21"/>
        <s v="2025-12-18"/>
        <s v="2025-11-11"/>
        <s v="2024-03-23"/>
        <s v="2025-04-11"/>
        <s v="2025-02-20"/>
        <s v="2025-12-03"/>
        <s v="2025-05-27"/>
        <s v="2025-07-06"/>
        <s v="2025-09-11"/>
        <s v="2024-03-01"/>
        <s v="2025-10-15"/>
        <s v="2024-03-17"/>
        <s v="2024-02-24"/>
        <s v="2024-09-07"/>
        <s v="2024-04-11"/>
        <s v="2025-10-24"/>
        <s v="2025-06-21"/>
        <s v="2025-04-09"/>
        <s v="2024-11-23"/>
        <s v="2024-05-01"/>
        <s v="2024-10-04"/>
        <s v="2025-02-12"/>
        <s v="2024-08-04"/>
        <s v="2024-06-29"/>
        <s v="2024-06-21"/>
        <s v="2024-01-11"/>
        <s v="2024-10-14"/>
        <s v="2024-10-29"/>
        <s v="2025-11-21"/>
        <s v="2025-09-24"/>
        <s v="2025-06-27"/>
        <s v="2024-03-10"/>
        <s v="2024-07-11"/>
        <s v="2025-01-10"/>
        <s v="2025-03-08"/>
        <s v="2025-05-26"/>
        <s v="2025-12-05"/>
        <s v="2024-04-04"/>
        <s v="2024-10-30"/>
        <s v="2025-03-31"/>
        <s v="2025-03-14"/>
        <s v="2025-09-20"/>
        <s v="2025-11-08"/>
        <s v="2025-02-22"/>
        <s v="2024-12-15"/>
        <s v="2024-04-28"/>
        <s v="2024-02-18"/>
        <s v="2025-05-25"/>
        <s v="2024-05-11"/>
        <s v="2025-02-13"/>
        <s v="2024-07-24"/>
        <s v="2024-12-28"/>
        <s v="2025-04-12"/>
        <s v="2025-01-31"/>
        <s v="2025-10-10"/>
        <s v="2025-04-22"/>
        <s v="2024-08-06"/>
        <s v="2024-09-21"/>
        <s v="2025-12-07"/>
        <s v="2024-09-23"/>
        <s v="2025-02-14"/>
        <s v="2024-11-05"/>
        <s v="2024-08-07"/>
        <s v="2025-08-05"/>
        <s v="2024-05-23"/>
        <s v="2025-07-20"/>
        <s v="2025-04-20"/>
        <s v="2025-04-01"/>
        <s v="2024-03-05"/>
        <s v="2024-04-18"/>
        <s v="2025-01-23"/>
        <s v="2024-06-22"/>
        <s v="2025-09-12"/>
        <s v="2025-11-25"/>
        <s v="2025-12-29"/>
        <s v="2024-06-07"/>
        <s v="2025-07-21"/>
        <s v="2024-08-26"/>
        <s v="2025-10-17"/>
        <s v="2024-02-10"/>
        <s v="2024-12-27"/>
        <s v="2024-10-10"/>
        <s v="2024-12-14"/>
        <s v="2025-04-17"/>
        <s v="2025-03-04"/>
        <s v="2024-07-10"/>
        <s v="2025-02-10"/>
        <s v="2025-01-08"/>
        <s v="2024-09-01"/>
        <s v="2025-04-07"/>
        <s v="2024-10-23"/>
        <s v="2025-10-23"/>
        <s v="2025-09-14"/>
        <s v="2025-06-25"/>
        <s v="2025-05-11"/>
        <s v="2024-10-22"/>
      </sharedItems>
    </cacheField>
    <cacheField name="Ship Mode" numFmtId="0">
      <sharedItems count="3">
        <s v="Standard"/>
        <s v="Same Day"/>
        <s v="Express"/>
      </sharedItems>
    </cacheField>
    <cacheField name="Customer" numFmtId="0">
      <sharedItems count="20">
        <s v="Iota Distributors"/>
        <s v="Omicron Trading"/>
        <s v="Kappa Wholesale"/>
        <s v="Gamma Supplies"/>
        <s v="Xi Solutions"/>
        <s v="Epsilon Ltd"/>
        <s v="Rho Retailers"/>
        <s v="Sigma Stores"/>
        <s v="Pi Partners"/>
        <s v="Zeta Enterprises"/>
        <s v="Theta Group"/>
        <s v="Alpha Traders"/>
        <s v="Delta Corp"/>
        <s v="Upsilon United"/>
        <s v="Omega Outlets"/>
        <s v="Mu Merchants"/>
        <s v="Tau Traders"/>
        <s v="Beta Retail Co"/>
        <s v="Nu Networks"/>
        <s v="Lambda Inc"/>
      </sharedItems>
    </cacheField>
    <cacheField name="Region" numFmtId="0">
      <sharedItems count="5">
        <s v="East"/>
        <s v="South"/>
        <s v="Central"/>
        <s v="North"/>
        <s v="West"/>
      </sharedItems>
    </cacheField>
    <cacheField name="Sales Rep" numFmtId="0">
      <sharedItems count="8">
        <s v="R. Brown"/>
        <s v="J. Smith"/>
        <s v="S. Miller"/>
        <s v="K. Davis"/>
        <s v="A. Williams"/>
        <s v="M. Johnson"/>
        <s v="L. Moore"/>
        <s v="T. Wilson"/>
      </sharedItems>
    </cacheField>
    <cacheField name="Category" numFmtId="0">
      <sharedItems count="4">
        <s v="Electronics"/>
        <s v="Office Supplies"/>
        <s v="Furniture"/>
        <s v="Clothing"/>
      </sharedItems>
    </cacheField>
    <cacheField name="Product" numFmtId="0">
      <sharedItems count="21">
        <s v="Laptop"/>
        <s v="Notebook"/>
        <s v="Printer Paper"/>
        <s v="Office Chair"/>
        <s v="Stapler"/>
        <s v="Sneakers"/>
        <s v="Desk"/>
        <s v="Cap"/>
        <s v="Pen Set"/>
        <s v="Sofa"/>
        <s v="Jacket"/>
        <s v="T-Shirt"/>
        <s v="Smartphone"/>
        <s v="Headphones"/>
        <s v="Monitor"/>
        <s v="Filing Cabinet"/>
        <s v="Bookshelf"/>
        <s v="Keyboard"/>
        <s v="Binder"/>
        <s v="Jeans"/>
        <s v="Tablet"/>
      </sharedItems>
    </cacheField>
    <cacheField name="Quantity" numFmtId="0">
      <sharedItems containsSemiMixedTypes="0" containsString="0" containsNumber="1" containsInteger="1" minValue="1" maxValue="25"/>
    </cacheField>
    <cacheField name="Unit Price" numFmtId="165">
      <sharedItems containsSemiMixedTypes="0" containsString="0" containsNumber="1" minValue="2.19" maxValue="1194.79"/>
    </cacheField>
    <cacheField name="Discount" numFmtId="9">
      <sharedItems containsSemiMixedTypes="0" containsString="0" containsNumber="1" minValue="0" maxValue="0.2"/>
    </cacheField>
    <cacheField name="Unit Cost" numFmtId="0">
      <sharedItems containsSemiMixedTypes="0" containsString="0" containsNumber="1" minValue="1.42" maxValue="954.68"/>
    </cacheField>
    <cacheField name="Sales" numFmtId="165">
      <sharedItems containsSemiMixedTypes="0" containsString="0" containsNumber="1" minValue="3.9420000000000002" maxValue="26285.379999999997" count="400">
        <n v="3424.5480000000002"/>
        <n v="5196.8489999999993"/>
        <n v="40.72"/>
        <n v="318.91499999999996"/>
        <n v="5329.12"/>
        <n v="257.64000000000004"/>
        <n v="4635.0360000000001"/>
        <n v="501.11999999999995"/>
        <n v="692.4"/>
        <n v="64.42"/>
        <n v="259.416"/>
        <n v="4637.2699999999995"/>
        <n v="11355"/>
        <n v="1295.5909999999999"/>
        <n v="444.17599999999993"/>
        <n v="162.24"/>
        <n v="480.36800000000005"/>
        <n v="109.95"/>
        <n v="2949.0659999999998"/>
        <n v="782.18700000000001"/>
        <n v="41.283000000000001"/>
        <n v="3703.2480000000005"/>
        <n v="77.018500000000003"/>
        <n v="353.28999999999996"/>
        <n v="394.48500000000001"/>
        <n v="212.33"/>
        <n v="8758.9864999999991"/>
        <n v="214.60000000000002"/>
        <n v="7413.12"/>
        <n v="6677.2365"/>
        <n v="5425.3200000000006"/>
        <n v="6095.58"/>
        <n v="314.67"/>
        <n v="8694.5310000000009"/>
        <n v="3510.88"/>
        <n v="360.62"/>
        <n v="15255.289999999999"/>
        <n v="8002.5000000000009"/>
        <n v="13470.156000000001"/>
        <n v="3340.7039999999997"/>
        <n v="1353.6000000000001"/>
        <n v="255.76"/>
        <n v="313.48849999999999"/>
        <n v="1205.5125"/>
        <n v="94.011999999999986"/>
        <n v="1047.8499999999999"/>
        <n v="3622.4400000000005"/>
        <n v="5105.0879999999997"/>
        <n v="7997.76"/>
        <n v="1952.92"/>
        <n v="15621.760000000002"/>
        <n v="1061.0600000000002"/>
        <n v="10828.232999999998"/>
        <n v="16368.4"/>
        <n v="14723.495999999999"/>
        <n v="906.5680000000001"/>
        <n v="4542.7910000000002"/>
        <n v="96.736000000000004"/>
        <n v="92.82"/>
        <n v="12290.2"/>
        <n v="287.92599999999999"/>
        <n v="641"/>
        <n v="110.78399999999999"/>
        <n v="441.82999999999993"/>
        <n v="410.08800000000002"/>
        <n v="3491.37"/>
        <n v="164.84399999999999"/>
        <n v="1249.4000000000001"/>
        <n v="392.48"/>
        <n v="105.47999999999999"/>
        <n v="1184.6499999999999"/>
        <n v="10721.97"/>
        <n v="1527.5714999999998"/>
        <n v="527.625"/>
        <n v="731.80800000000011"/>
        <n v="743.97949999999992"/>
        <n v="23499.903000000002"/>
        <n v="181.9"/>
        <n v="295.92"/>
        <n v="3143.0619999999999"/>
        <n v="194.88"/>
        <n v="2994.6754999999998"/>
        <n v="15349.77"/>
        <n v="277.64100000000002"/>
        <n v="1193.76"/>
        <n v="1498.056"/>
        <n v="635.58000000000004"/>
        <n v="351.65"/>
        <n v="651.06600000000003"/>
        <n v="3666.9679999999998"/>
        <n v="841.5"/>
        <n v="853"/>
        <n v="771.8655"/>
        <n v="3211.8"/>
        <n v="90.12"/>
        <n v="30.523500000000002"/>
        <n v="424.11600000000004"/>
        <n v="2332.4779999999996"/>
        <n v="8599.59"/>
        <n v="3365.6959999999999"/>
        <n v="196.73599999999999"/>
        <n v="1164.8"/>
        <n v="357.63200000000006"/>
        <n v="14823.599999999999"/>
        <n v="150.80000000000001"/>
        <n v="714.28500000000008"/>
        <n v="8093.1829999999991"/>
        <n v="762.74"/>
        <n v="7.7859999999999996"/>
        <n v="2191.1999999999998"/>
        <n v="151.71"/>
        <n v="124.97999999999999"/>
        <n v="8510.3040000000019"/>
        <n v="458.61599999999999"/>
        <n v="311.88"/>
        <n v="12077.400000000001"/>
        <n v="10025.120000000001"/>
        <n v="8691.42"/>
        <n v="88.16"/>
        <n v="17344.759999999998"/>
        <n v="4862.3999999999996"/>
        <n v="9762.8874999999989"/>
        <n v="11603.224000000002"/>
        <n v="163.35000000000002"/>
        <n v="518.69999999999993"/>
        <n v="5566.05"/>
        <n v="5609.37"/>
        <n v="607.85600000000011"/>
        <n v="18326.412"/>
        <n v="387.40000000000003"/>
        <n v="2713.4279999999999"/>
        <n v="8184.69"/>
        <n v="6721.7489999999998"/>
        <n v="646.94000000000005"/>
        <n v="184.18400000000003"/>
        <n v="118.90199999999999"/>
        <n v="483.072"/>
        <n v="357.952"/>
        <n v="439"/>
        <n v="12521.925000000001"/>
        <n v="255.66300000000001"/>
        <n v="109.14"/>
        <n v="148.155"/>
        <n v="8267.6790000000001"/>
        <n v="91.2"/>
        <n v="236.43199999999999"/>
        <n v="6859.9"/>
        <n v="126.93899999999999"/>
        <n v="10651.480000000001"/>
        <n v="336.26199999999994"/>
        <n v="7519.5"/>
        <n v="303.36000000000007"/>
        <n v="209"/>
        <n v="578.76"/>
        <n v="47.34"/>
        <n v="132.83199999999999"/>
        <n v="800.58399999999995"/>
        <n v="210.67200000000003"/>
        <n v="536.33699999999999"/>
        <n v="581.72400000000005"/>
        <n v="239.84800000000001"/>
        <n v="7181.6"/>
        <n v="208.89000000000001"/>
        <n v="6296.64"/>
        <n v="6954.1049999999996"/>
        <n v="49.41"/>
        <n v="1588.14"/>
        <n v="9163.8539999999994"/>
        <n v="7087.9"/>
        <n v="381.96000000000004"/>
        <n v="677.16000000000008"/>
        <n v="228.8"/>
        <n v="328.86"/>
        <n v="3319.8"/>
        <n v="1338.48"/>
        <n v="148.10400000000001"/>
        <n v="2246.37"/>
        <n v="167.86"/>
        <n v="1303.05"/>
        <n v="210.49199999999999"/>
        <n v="12959.18"/>
        <n v="802.49400000000003"/>
        <n v="251.55"/>
        <n v="34.992000000000004"/>
        <n v="597.24"/>
        <n v="378.59399999999994"/>
        <n v="3918.2939999999999"/>
        <n v="4483.3249999999998"/>
        <n v="4475.5814999999993"/>
        <n v="420.36"/>
        <n v="47.300000000000004"/>
        <n v="773.04"/>
        <n v="2476.6280000000002"/>
        <n v="162.14400000000001"/>
        <n v="132.804"/>
        <n v="181.52600000000001"/>
        <n v="225.96"/>
        <n v="11339.77"/>
        <n v="484.9"/>
        <n v="59.552"/>
        <n v="203.43049999999999"/>
        <n v="320.892"/>
        <n v="9005.75"/>
        <n v="138.6"/>
        <n v="380.65549999999996"/>
        <n v="380.57600000000002"/>
        <n v="163.25749999999999"/>
        <n v="760"/>
        <n v="282.40649999999999"/>
        <n v="2383.3520000000003"/>
        <n v="51.461999999999996"/>
        <n v="7128.7375000000002"/>
        <n v="1067.175"/>
        <n v="48.62"/>
        <n v="243.84"/>
        <n v="110.92"/>
        <n v="6838.26"/>
        <n v="5035.8499999999995"/>
        <n v="4756.5360000000001"/>
        <n v="404.59999999999997"/>
        <n v="2017.5"/>
        <n v="295.02"/>
        <n v="12936.6345"/>
        <n v="474.10199999999998"/>
        <n v="2079.3125"/>
        <n v="1154.73"/>
        <n v="205.44299999999998"/>
        <n v="796.5"/>
        <n v="8526.8770000000004"/>
        <n v="6822.08"/>
        <n v="145.6"/>
        <n v="135.6"/>
        <n v="6861.1200000000008"/>
        <n v="140.84"/>
        <n v="112.60799999999999"/>
        <n v="358.17300000000006"/>
        <n v="654.44000000000005"/>
        <n v="380.05200000000002"/>
        <n v="1771.3605"/>
        <n v="402.48"/>
        <n v="6990.2300000000005"/>
        <n v="93.933000000000007"/>
        <n v="3339.96"/>
        <n v="11019.312"/>
        <n v="4028.85"/>
        <n v="70.14"/>
        <n v="5885.16"/>
        <n v="276.50700000000001"/>
        <n v="1560.6029999999998"/>
        <n v="510.97600000000006"/>
        <n v="1844.14"/>
        <n v="2933.1"/>
        <n v="124.4975"/>
        <n v="15539.03"/>
        <n v="2356.08"/>
        <n v="253.57199999999997"/>
        <n v="1122.24"/>
        <n v="297.24"/>
        <n v="797.9"/>
        <n v="298.12900000000002"/>
        <n v="411.12"/>
        <n v="272.74"/>
        <n v="241.74"/>
        <n v="312.08"/>
        <n v="1932.1799999999998"/>
        <n v="234.95399999999998"/>
        <n v="4181.6000000000004"/>
        <n v="13855.68"/>
        <n v="426.72"/>
        <n v="1251.1320000000001"/>
        <n v="72.900000000000006"/>
        <n v="2358.79"/>
        <n v="470.53499999999997"/>
        <n v="775.17"/>
        <n v="464.11699999999996"/>
        <n v="13469.202000000001"/>
        <n v="883.40499999999997"/>
        <n v="1537.518"/>
        <n v="193.3725"/>
        <n v="14695.506000000001"/>
        <n v="130.56"/>
        <n v="1404.0809999999999"/>
        <n v="10247.688"/>
        <n v="1099.8720000000001"/>
        <n v="192.18"/>
        <n v="11.872"/>
        <n v="7193.7719999999999"/>
        <n v="77.774999999999991"/>
        <n v="1256.8779999999999"/>
        <n v="731.04"/>
        <n v="165.36"/>
        <n v="410.83"/>
        <n v="92.609999999999985"/>
        <n v="134.42000000000002"/>
        <n v="347.2"/>
        <n v="732.32"/>
        <n v="67.626000000000005"/>
        <n v="4726.5570000000007"/>
        <n v="8142.4784999999983"/>
        <n v="203.54999999999998"/>
        <n v="16771.338"/>
        <n v="13.02"/>
        <n v="3491.3999999999996"/>
        <n v="26285.379999999997"/>
        <n v="1081.4000000000001"/>
        <n v="1379.1589999999999"/>
        <n v="434.98750000000001"/>
        <n v="2297.9520000000002"/>
        <n v="8354.0600000000013"/>
        <n v="198.12"/>
        <n v="3537.4"/>
        <n v="29.223000000000003"/>
        <n v="212.54349999999999"/>
        <n v="9766.3230000000003"/>
        <n v="289.25600000000003"/>
        <n v="203.1755"/>
        <n v="1706.4599999999998"/>
        <n v="1139.346"/>
        <n v="502.74"/>
        <n v="1479.85"/>
        <n v="606.8125"/>
        <n v="24341.1"/>
        <n v="4099.5999999999995"/>
        <n v="8724.6720000000005"/>
        <n v="14246.784"/>
        <n v="6218.0820000000003"/>
        <n v="486.2"/>
        <n v="16414.23"/>
        <n v="51.82"/>
        <n v="731.63"/>
        <n v="12946.520000000002"/>
        <n v="189"/>
        <n v="92.259999999999991"/>
        <n v="1616.598"/>
        <n v="13678.4"/>
        <n v="96.173999999999992"/>
        <n v="306.61200000000002"/>
        <n v="745.29399999999998"/>
        <n v="22.541999999999998"/>
        <n v="14154.14"/>
        <n v="240.38400000000001"/>
        <n v="41.16"/>
        <n v="7475.5"/>
        <n v="9593.0880000000016"/>
        <n v="3.9420000000000002"/>
        <n v="49.872000000000007"/>
        <n v="2804.34"/>
        <n v="4614.9400000000005"/>
        <n v="216.648"/>
        <n v="6436.125"/>
        <n v="1570.212"/>
        <n v="109.096"/>
        <n v="6561.152000000001"/>
        <n v="10026.960000000001"/>
        <n v="190.95"/>
        <n v="309.58199999999999"/>
        <n v="11464.16"/>
        <n v="952.77599999999995"/>
        <n v="123.57600000000002"/>
        <n v="1506.66"/>
        <n v="58.937999999999995"/>
        <n v="216.45"/>
        <n v="15559.08"/>
        <n v="602.75200000000007"/>
        <n v="1014.552"/>
        <n v="4808.6639999999998"/>
        <n v="601.29000000000008"/>
        <n v="449.68000000000006"/>
        <n v="904.53599999999983"/>
        <n v="1057.68"/>
        <n v="8.2110000000000003"/>
        <n v="1264.4100000000001"/>
        <n v="356.27"/>
        <n v="240.559"/>
        <n v="15672.960000000001"/>
        <n v="97.463999999999999"/>
        <n v="47.005000000000003"/>
        <n v="1493.7389999999998"/>
        <n v="5431.12"/>
        <n v="680.00999999999988"/>
        <n v="522.77549999999997"/>
        <n v="1294.7965000000002"/>
        <n v="614.72"/>
        <n v="300.834"/>
        <n v="22.923499999999997"/>
        <n v="188.83"/>
        <n v="17.649999999999999"/>
        <n v="312.702"/>
        <n v="24.48"/>
        <n v="148.26"/>
        <n v="3212.8334999999997"/>
        <n v="22370.533499999998"/>
        <n v="7129.32"/>
        <n v="1314.7919999999999"/>
        <n v="1577.07"/>
        <n v="57.015999999999998"/>
        <n v="55.759999999999991"/>
        <n v="15193.416000000001"/>
        <n v="11979.320000000002"/>
        <n v="12746.14"/>
      </sharedItems>
    </cacheField>
    <cacheField name="Profit" numFmtId="165">
      <sharedItems containsSemiMixedTypes="0" containsString="0" containsNumber="1" minValue="1.54" maxValue="8775.2699999999968"/>
    </cacheField>
    <cacheField name="Order Type" numFmtId="0">
      <sharedItems count="2">
        <s v="Bulk"/>
        <s v="Standard"/>
      </sharedItems>
    </cacheField>
    <cacheField name="Discount Tier" numFmtId="0">
      <sharedItems/>
    </cacheField>
    <cacheField name="Days To Ship" numFmtId="0">
      <sharedItems containsSemiMixedTypes="0" containsString="0" containsNumber="1" containsInteger="1" minValue="0" maxValue="7"/>
    </cacheField>
    <cacheField name="Region Target" numFmtId="0">
      <sharedItems containsSemiMixedTypes="0" containsString="0" containsNumber="1" containsInteger="1" minValue="120000" maxValue="160000"/>
    </cacheField>
    <cacheField name="Region Target Index Match" numFmtId="0">
      <sharedItems containsSemiMixedTypes="0" containsString="0" containsNumber="1" containsInteger="1" minValue="120000" maxValue="160000"/>
    </cacheField>
    <cacheField name="Rank" numFmtId="0">
      <sharedItems containsSemiMixedTypes="0" containsString="0" containsNumber="1" containsInteger="1" minValue="1" maxValue="400"/>
    </cacheField>
    <cacheField name="Running Total" numFmtId="165">
      <sharedItems containsSemiMixedTypes="0" containsString="0" containsNumber="1" minValue="8621.396999999999" maxValue="1272885.2150000001"/>
    </cacheField>
  </cacheFields>
  <extLst>
    <ext xmlns:x14="http://schemas.microsoft.com/office/spreadsheetml/2009/9/main" uri="{725AE2AE-9491-48be-B2B4-4EB974FC3084}">
      <x14:pivotCacheDefinition pivotCacheId="5765884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x v="0"/>
    <x v="0"/>
    <x v="0"/>
    <x v="0"/>
    <x v="0"/>
    <x v="0"/>
    <x v="0"/>
    <x v="0"/>
    <n v="24"/>
    <n v="167.87"/>
    <n v="0.15"/>
    <n v="129.77000000000001"/>
    <x v="0"/>
    <n v="914.39999999999986"/>
    <x v="0"/>
    <s v="HIGH"/>
    <n v="4"/>
    <n v="140000"/>
    <n v="140000"/>
    <n v="115"/>
    <n v="8621.396999999999"/>
  </r>
  <r>
    <x v="1"/>
    <x v="1"/>
    <x v="1"/>
    <x v="1"/>
    <x v="0"/>
    <x v="1"/>
    <x v="1"/>
    <x v="0"/>
    <x v="0"/>
    <n v="7"/>
    <n v="873.42"/>
    <n v="0.15"/>
    <n v="599.37"/>
    <x v="1"/>
    <n v="1918.3499999999997"/>
    <x v="0"/>
    <s v="HIGH"/>
    <n v="0"/>
    <n v="130000"/>
    <n v="130000"/>
    <n v="91"/>
    <n v="8662.1169999999984"/>
  </r>
  <r>
    <x v="2"/>
    <x v="2"/>
    <x v="2"/>
    <x v="2"/>
    <x v="1"/>
    <x v="1"/>
    <x v="2"/>
    <x v="1"/>
    <x v="1"/>
    <n v="5"/>
    <n v="10.18"/>
    <n v="0.2"/>
    <n v="6.46"/>
    <x v="2"/>
    <n v="18.599999999999998"/>
    <x v="1"/>
    <s v="HIGH"/>
    <n v="3"/>
    <n v="130000"/>
    <n v="130000"/>
    <n v="388"/>
    <n v="8981.0319999999992"/>
  </r>
  <r>
    <x v="3"/>
    <x v="3"/>
    <x v="3"/>
    <x v="1"/>
    <x v="2"/>
    <x v="2"/>
    <x v="1"/>
    <x v="1"/>
    <x v="2"/>
    <n v="15"/>
    <n v="22.38"/>
    <n v="0.05"/>
    <n v="12.75"/>
    <x v="3"/>
    <n v="144.44999999999999"/>
    <x v="1"/>
    <s v="NONE"/>
    <n v="0"/>
    <n v="120000"/>
    <n v="120000"/>
    <n v="266"/>
    <n v="14310.151999999998"/>
  </r>
  <r>
    <x v="4"/>
    <x v="4"/>
    <x v="4"/>
    <x v="0"/>
    <x v="0"/>
    <x v="3"/>
    <x v="3"/>
    <x v="2"/>
    <x v="3"/>
    <n v="8"/>
    <n v="701.2"/>
    <n v="0.05"/>
    <n v="434.39"/>
    <x v="4"/>
    <n v="2134.4800000000005"/>
    <x v="0"/>
    <s v="NONE"/>
    <n v="6"/>
    <n v="150000"/>
    <n v="150000"/>
    <n v="90"/>
    <n v="14567.791999999998"/>
  </r>
  <r>
    <x v="5"/>
    <x v="5"/>
    <x v="5"/>
    <x v="1"/>
    <x v="3"/>
    <x v="0"/>
    <x v="4"/>
    <x v="1"/>
    <x v="4"/>
    <n v="24"/>
    <n v="11.3"/>
    <n v="0.05"/>
    <n v="7.29"/>
    <x v="5"/>
    <n v="96.240000000000009"/>
    <x v="1"/>
    <s v="NONE"/>
    <n v="0"/>
    <n v="140000"/>
    <n v="140000"/>
    <n v="287"/>
    <n v="19202.827999999998"/>
  </r>
  <r>
    <x v="6"/>
    <x v="6"/>
    <x v="6"/>
    <x v="0"/>
    <x v="4"/>
    <x v="0"/>
    <x v="3"/>
    <x v="2"/>
    <x v="3"/>
    <n v="7"/>
    <n v="735.72"/>
    <n v="0.1"/>
    <n v="565.84"/>
    <x v="6"/>
    <n v="1189.1599999999999"/>
    <x v="0"/>
    <s v="NONE"/>
    <n v="6"/>
    <n v="140000"/>
    <n v="140000"/>
    <n v="99"/>
    <n v="19703.947999999997"/>
  </r>
  <r>
    <x v="7"/>
    <x v="7"/>
    <x v="7"/>
    <x v="0"/>
    <x v="5"/>
    <x v="4"/>
    <x v="3"/>
    <x v="3"/>
    <x v="5"/>
    <n v="8"/>
    <n v="69.599999999999994"/>
    <n v="0.1"/>
    <n v="42.85"/>
    <x v="7"/>
    <n v="213.99999999999994"/>
    <x v="1"/>
    <s v="NONE"/>
    <n v="7"/>
    <n v="160000"/>
    <n v="160000"/>
    <n v="225"/>
    <n v="20396.347999999998"/>
  </r>
  <r>
    <x v="8"/>
    <x v="8"/>
    <x v="8"/>
    <x v="0"/>
    <x v="6"/>
    <x v="2"/>
    <x v="5"/>
    <x v="2"/>
    <x v="6"/>
    <n v="4"/>
    <n v="173.1"/>
    <n v="0"/>
    <n v="129.47999999999999"/>
    <x v="8"/>
    <n v="174.48000000000002"/>
    <x v="1"/>
    <s v="NONE"/>
    <n v="7"/>
    <n v="120000"/>
    <n v="120000"/>
    <n v="203"/>
    <n v="20460.767999999996"/>
  </r>
  <r>
    <x v="9"/>
    <x v="9"/>
    <x v="9"/>
    <x v="1"/>
    <x v="7"/>
    <x v="4"/>
    <x v="3"/>
    <x v="3"/>
    <x v="7"/>
    <n v="1"/>
    <n v="64.42"/>
    <n v="0"/>
    <n v="46.41"/>
    <x v="9"/>
    <n v="18.010000000000005"/>
    <x v="1"/>
    <s v="NONE"/>
    <n v="0"/>
    <n v="160000"/>
    <n v="160000"/>
    <n v="373"/>
    <n v="20720.183999999997"/>
  </r>
  <r>
    <x v="10"/>
    <x v="10"/>
    <x v="10"/>
    <x v="1"/>
    <x v="8"/>
    <x v="1"/>
    <x v="1"/>
    <x v="1"/>
    <x v="8"/>
    <n v="24"/>
    <n v="12.01"/>
    <n v="0.1"/>
    <n v="8.89"/>
    <x v="10"/>
    <n v="74.879999999999981"/>
    <x v="1"/>
    <s v="NONE"/>
    <n v="0"/>
    <n v="130000"/>
    <n v="130000"/>
    <n v="286"/>
    <n v="25357.453999999998"/>
  </r>
  <r>
    <x v="11"/>
    <x v="0"/>
    <x v="11"/>
    <x v="1"/>
    <x v="9"/>
    <x v="0"/>
    <x v="1"/>
    <x v="2"/>
    <x v="6"/>
    <n v="11"/>
    <n v="421.57"/>
    <n v="0"/>
    <n v="329.78"/>
    <x v="11"/>
    <n v="1009.6900000000003"/>
    <x v="0"/>
    <s v="NONE"/>
    <n v="0"/>
    <n v="140000"/>
    <n v="140000"/>
    <n v="98"/>
    <n v="36712.453999999998"/>
  </r>
  <r>
    <x v="12"/>
    <x v="11"/>
    <x v="12"/>
    <x v="0"/>
    <x v="3"/>
    <x v="3"/>
    <x v="6"/>
    <x v="2"/>
    <x v="9"/>
    <n v="25"/>
    <n v="454.2"/>
    <n v="0"/>
    <n v="264.39"/>
    <x v="12"/>
    <n v="4745.25"/>
    <x v="0"/>
    <s v="NONE"/>
    <n v="7"/>
    <n v="150000"/>
    <n v="150000"/>
    <n v="36"/>
    <n v="38008.044999999998"/>
  </r>
  <r>
    <x v="13"/>
    <x v="12"/>
    <x v="13"/>
    <x v="2"/>
    <x v="10"/>
    <x v="2"/>
    <x v="3"/>
    <x v="3"/>
    <x v="10"/>
    <n v="22"/>
    <n v="61.99"/>
    <n v="0.05"/>
    <n v="48.04"/>
    <x v="13"/>
    <n v="306.90000000000009"/>
    <x v="0"/>
    <s v="NONE"/>
    <n v="2"/>
    <n v="120000"/>
    <n v="120000"/>
    <n v="160"/>
    <n v="38452.220999999998"/>
  </r>
  <r>
    <x v="14"/>
    <x v="13"/>
    <x v="14"/>
    <x v="1"/>
    <x v="11"/>
    <x v="0"/>
    <x v="0"/>
    <x v="2"/>
    <x v="3"/>
    <n v="8"/>
    <n v="65.319999999999993"/>
    <n v="0.15"/>
    <n v="46.23"/>
    <x v="14"/>
    <n v="152.71999999999997"/>
    <x v="0"/>
    <s v="HIGH"/>
    <n v="0"/>
    <n v="140000"/>
    <n v="140000"/>
    <n v="235"/>
    <n v="38614.460999999996"/>
  </r>
  <r>
    <x v="15"/>
    <x v="1"/>
    <x v="1"/>
    <x v="1"/>
    <x v="0"/>
    <x v="2"/>
    <x v="3"/>
    <x v="1"/>
    <x v="1"/>
    <n v="16"/>
    <n v="10.14"/>
    <n v="0"/>
    <n v="7.41"/>
    <x v="15"/>
    <n v="43.680000000000007"/>
    <x v="1"/>
    <s v="NONE"/>
    <n v="0"/>
    <n v="120000"/>
    <n v="120000"/>
    <n v="330"/>
    <n v="39094.828999999998"/>
  </r>
  <r>
    <x v="16"/>
    <x v="14"/>
    <x v="15"/>
    <x v="2"/>
    <x v="12"/>
    <x v="3"/>
    <x v="7"/>
    <x v="3"/>
    <x v="10"/>
    <n v="14"/>
    <n v="42.89"/>
    <n v="0.2"/>
    <n v="31.41"/>
    <x v="16"/>
    <n v="160.72"/>
    <x v="0"/>
    <s v="HIGH"/>
    <n v="2"/>
    <n v="150000"/>
    <n v="150000"/>
    <n v="229"/>
    <n v="39204.778999999995"/>
  </r>
  <r>
    <x v="17"/>
    <x v="15"/>
    <x v="16"/>
    <x v="1"/>
    <x v="10"/>
    <x v="1"/>
    <x v="0"/>
    <x v="1"/>
    <x v="1"/>
    <n v="15"/>
    <n v="7.33"/>
    <n v="0"/>
    <n v="4.54"/>
    <x v="17"/>
    <n v="41.85"/>
    <x v="0"/>
    <s v="NONE"/>
    <n v="0"/>
    <n v="130000"/>
    <n v="130000"/>
    <n v="353"/>
    <n v="42153.844999999994"/>
  </r>
  <r>
    <x v="18"/>
    <x v="16"/>
    <x v="17"/>
    <x v="0"/>
    <x v="11"/>
    <x v="2"/>
    <x v="5"/>
    <x v="0"/>
    <x v="0"/>
    <n v="6"/>
    <n v="517.38"/>
    <n v="0.05"/>
    <n v="312.20999999999998"/>
    <x v="18"/>
    <n v="1231.02"/>
    <x v="0"/>
    <s v="NONE"/>
    <n v="7"/>
    <n v="120000"/>
    <n v="120000"/>
    <n v="124"/>
    <n v="42936.031999999992"/>
  </r>
  <r>
    <x v="19"/>
    <x v="17"/>
    <x v="18"/>
    <x v="2"/>
    <x v="2"/>
    <x v="4"/>
    <x v="6"/>
    <x v="3"/>
    <x v="11"/>
    <n v="14"/>
    <n v="65.73"/>
    <n v="0.15"/>
    <n v="52.51"/>
    <x v="19"/>
    <n v="185.0800000000001"/>
    <x v="1"/>
    <s v="HIGH"/>
    <n v="2"/>
    <n v="160000"/>
    <n v="160000"/>
    <n v="190"/>
    <n v="42977.314999999995"/>
  </r>
  <r>
    <x v="20"/>
    <x v="18"/>
    <x v="19"/>
    <x v="1"/>
    <x v="13"/>
    <x v="3"/>
    <x v="1"/>
    <x v="1"/>
    <x v="4"/>
    <n v="11"/>
    <n v="4.17"/>
    <n v="0.1"/>
    <n v="2.79"/>
    <x v="20"/>
    <n v="15.18"/>
    <x v="0"/>
    <s v="NONE"/>
    <n v="0"/>
    <n v="150000"/>
    <n v="150000"/>
    <n v="386"/>
    <n v="46680.562999999995"/>
  </r>
  <r>
    <x v="21"/>
    <x v="19"/>
    <x v="20"/>
    <x v="1"/>
    <x v="14"/>
    <x v="3"/>
    <x v="5"/>
    <x v="0"/>
    <x v="12"/>
    <n v="8"/>
    <n v="514.34"/>
    <n v="0.1"/>
    <n v="314.55"/>
    <x v="21"/>
    <n v="1598.3200000000002"/>
    <x v="0"/>
    <s v="NONE"/>
    <n v="0"/>
    <n v="150000"/>
    <n v="150000"/>
    <n v="108"/>
    <n v="46757.581499999993"/>
  </r>
  <r>
    <x v="22"/>
    <x v="20"/>
    <x v="21"/>
    <x v="2"/>
    <x v="15"/>
    <x v="1"/>
    <x v="0"/>
    <x v="1"/>
    <x v="2"/>
    <n v="13"/>
    <n v="6.97"/>
    <n v="0.15"/>
    <n v="4.3600000000000003"/>
    <x v="22"/>
    <n v="33.929999999999993"/>
    <x v="1"/>
    <s v="HIGH"/>
    <n v="2"/>
    <n v="130000"/>
    <n v="130000"/>
    <n v="369"/>
    <n v="47110.871499999994"/>
  </r>
  <r>
    <x v="23"/>
    <x v="21"/>
    <x v="22"/>
    <x v="1"/>
    <x v="12"/>
    <x v="2"/>
    <x v="5"/>
    <x v="3"/>
    <x v="7"/>
    <n v="7"/>
    <n v="50.47"/>
    <n v="0"/>
    <n v="39.53"/>
    <x v="23"/>
    <n v="76.579999999999984"/>
    <x v="0"/>
    <s v="NONE"/>
    <n v="0"/>
    <n v="120000"/>
    <n v="120000"/>
    <n v="260"/>
    <n v="47505.356499999994"/>
  </r>
  <r>
    <x v="24"/>
    <x v="22"/>
    <x v="23"/>
    <x v="1"/>
    <x v="16"/>
    <x v="4"/>
    <x v="3"/>
    <x v="1"/>
    <x v="4"/>
    <n v="21"/>
    <n v="22.1"/>
    <n v="0.15"/>
    <n v="16.670000000000002"/>
    <x v="24"/>
    <n v="114.03"/>
    <x v="1"/>
    <s v="HIGH"/>
    <n v="0"/>
    <n v="160000"/>
    <n v="160000"/>
    <n v="247"/>
    <n v="47717.686499999996"/>
  </r>
  <r>
    <x v="25"/>
    <x v="23"/>
    <x v="24"/>
    <x v="2"/>
    <x v="16"/>
    <x v="3"/>
    <x v="4"/>
    <x v="1"/>
    <x v="1"/>
    <n v="10"/>
    <n v="24.98"/>
    <n v="0.15"/>
    <n v="15.88"/>
    <x v="25"/>
    <n v="91"/>
    <x v="0"/>
    <s v="HIGH"/>
    <n v="3"/>
    <n v="150000"/>
    <n v="150000"/>
    <n v="305"/>
    <n v="56476.672999999995"/>
  </r>
  <r>
    <x v="26"/>
    <x v="24"/>
    <x v="25"/>
    <x v="0"/>
    <x v="2"/>
    <x v="4"/>
    <x v="1"/>
    <x v="0"/>
    <x v="0"/>
    <n v="11"/>
    <n v="936.79"/>
    <n v="0.15"/>
    <n v="744.7"/>
    <x v="26"/>
    <n v="2112.9899999999989"/>
    <x v="1"/>
    <s v="HIGH"/>
    <n v="5"/>
    <n v="160000"/>
    <n v="160000"/>
    <n v="50"/>
    <n v="56691.272999999994"/>
  </r>
  <r>
    <x v="27"/>
    <x v="25"/>
    <x v="26"/>
    <x v="1"/>
    <x v="12"/>
    <x v="3"/>
    <x v="5"/>
    <x v="3"/>
    <x v="7"/>
    <n v="5"/>
    <n v="53.65"/>
    <n v="0.2"/>
    <n v="34.46"/>
    <x v="27"/>
    <n v="95.949999999999989"/>
    <x v="0"/>
    <s v="HIGH"/>
    <n v="0"/>
    <n v="150000"/>
    <n v="150000"/>
    <n v="303"/>
    <n v="64104.392999999996"/>
  </r>
  <r>
    <x v="28"/>
    <x v="26"/>
    <x v="27"/>
    <x v="0"/>
    <x v="17"/>
    <x v="0"/>
    <x v="2"/>
    <x v="0"/>
    <x v="13"/>
    <n v="22"/>
    <n v="336.96"/>
    <n v="0"/>
    <n v="215.12"/>
    <x v="28"/>
    <n v="2680.4799999999996"/>
    <x v="1"/>
    <s v="NONE"/>
    <n v="7"/>
    <n v="140000"/>
    <n v="140000"/>
    <n v="66"/>
    <n v="70781.629499999995"/>
  </r>
  <r>
    <x v="29"/>
    <x v="27"/>
    <x v="28"/>
    <x v="1"/>
    <x v="11"/>
    <x v="4"/>
    <x v="4"/>
    <x v="2"/>
    <x v="6"/>
    <n v="11"/>
    <n v="638.97"/>
    <n v="0.05"/>
    <n v="479.58"/>
    <x v="29"/>
    <n v="1753.2900000000004"/>
    <x v="0"/>
    <s v="NONE"/>
    <n v="0"/>
    <n v="160000"/>
    <n v="160000"/>
    <n v="79"/>
    <n v="76206.949500000002"/>
  </r>
  <r>
    <x v="30"/>
    <x v="28"/>
    <x v="29"/>
    <x v="0"/>
    <x v="6"/>
    <x v="3"/>
    <x v="0"/>
    <x v="0"/>
    <x v="14"/>
    <n v="15"/>
    <n v="452.11"/>
    <n v="0.2"/>
    <n v="338.56"/>
    <x v="30"/>
    <n v="1703.2500000000002"/>
    <x v="0"/>
    <s v="HIGH"/>
    <n v="5"/>
    <n v="150000"/>
    <n v="150000"/>
    <n v="89"/>
    <n v="82302.529500000004"/>
  </r>
  <r>
    <x v="31"/>
    <x v="29"/>
    <x v="30"/>
    <x v="2"/>
    <x v="2"/>
    <x v="0"/>
    <x v="5"/>
    <x v="2"/>
    <x v="15"/>
    <n v="12"/>
    <n v="534.70000000000005"/>
    <n v="0.05"/>
    <n v="384.92"/>
    <x v="31"/>
    <n v="1797.3600000000004"/>
    <x v="0"/>
    <s v="NONE"/>
    <n v="2"/>
    <n v="140000"/>
    <n v="140000"/>
    <n v="84"/>
    <n v="82617.199500000002"/>
  </r>
  <r>
    <x v="32"/>
    <x v="30"/>
    <x v="31"/>
    <x v="0"/>
    <x v="2"/>
    <x v="2"/>
    <x v="1"/>
    <x v="1"/>
    <x v="4"/>
    <n v="20"/>
    <n v="18.510000000000002"/>
    <n v="0.15"/>
    <n v="13.82"/>
    <x v="32"/>
    <n v="93.800000000000026"/>
    <x v="0"/>
    <s v="HIGH"/>
    <n v="7"/>
    <n v="120000"/>
    <n v="120000"/>
    <n v="267"/>
    <n v="91311.730500000005"/>
  </r>
  <r>
    <x v="33"/>
    <x v="9"/>
    <x v="9"/>
    <x v="1"/>
    <x v="1"/>
    <x v="3"/>
    <x v="1"/>
    <x v="2"/>
    <x v="16"/>
    <n v="18"/>
    <n v="568.27"/>
    <n v="0.15"/>
    <n v="417.26"/>
    <x v="33"/>
    <n v="2718.18"/>
    <x v="0"/>
    <s v="HIGH"/>
    <n v="0"/>
    <n v="150000"/>
    <n v="150000"/>
    <n v="52"/>
    <n v="94822.61050000001"/>
  </r>
  <r>
    <x v="34"/>
    <x v="31"/>
    <x v="32"/>
    <x v="1"/>
    <x v="14"/>
    <x v="0"/>
    <x v="2"/>
    <x v="0"/>
    <x v="17"/>
    <n v="4"/>
    <n v="877.72"/>
    <n v="0"/>
    <n v="594.02"/>
    <x v="34"/>
    <n v="1134.8000000000002"/>
    <x v="0"/>
    <s v="NONE"/>
    <n v="0"/>
    <n v="140000"/>
    <n v="140000"/>
    <n v="112"/>
    <n v="95183.230500000005"/>
  </r>
  <r>
    <x v="35"/>
    <x v="15"/>
    <x v="16"/>
    <x v="1"/>
    <x v="10"/>
    <x v="1"/>
    <x v="7"/>
    <x v="1"/>
    <x v="18"/>
    <n v="13"/>
    <n v="27.74"/>
    <n v="0"/>
    <n v="19.53"/>
    <x v="35"/>
    <n v="106.72999999999996"/>
    <x v="1"/>
    <s v="NONE"/>
    <n v="0"/>
    <n v="130000"/>
    <n v="130000"/>
    <n v="255"/>
    <n v="110438.5205"/>
  </r>
  <r>
    <x v="36"/>
    <x v="32"/>
    <x v="33"/>
    <x v="1"/>
    <x v="10"/>
    <x v="0"/>
    <x v="7"/>
    <x v="0"/>
    <x v="13"/>
    <n v="20"/>
    <n v="802.91"/>
    <n v="0.05"/>
    <n v="530.28"/>
    <x v="36"/>
    <n v="5452.6"/>
    <x v="0"/>
    <s v="NONE"/>
    <n v="0"/>
    <n v="140000"/>
    <n v="140000"/>
    <n v="15"/>
    <n v="118441.0205"/>
  </r>
  <r>
    <x v="37"/>
    <x v="33"/>
    <x v="34"/>
    <x v="0"/>
    <x v="14"/>
    <x v="2"/>
    <x v="2"/>
    <x v="0"/>
    <x v="13"/>
    <n v="25"/>
    <n v="320.10000000000002"/>
    <n v="0"/>
    <n v="194.03"/>
    <x v="37"/>
    <n v="3151.7500000000005"/>
    <x v="0"/>
    <s v="NONE"/>
    <n v="5"/>
    <n v="120000"/>
    <n v="120000"/>
    <n v="62"/>
    <n v="131911.1765"/>
  </r>
  <r>
    <x v="38"/>
    <x v="34"/>
    <x v="35"/>
    <x v="2"/>
    <x v="14"/>
    <x v="4"/>
    <x v="5"/>
    <x v="0"/>
    <x v="12"/>
    <n v="14"/>
    <n v="1069.06"/>
    <n v="0.1"/>
    <n v="639.95000000000005"/>
    <x v="38"/>
    <n v="6007.5399999999991"/>
    <x v="0"/>
    <s v="NONE"/>
    <n v="3"/>
    <n v="160000"/>
    <n v="160000"/>
    <n v="24"/>
    <n v="135251.8805"/>
  </r>
  <r>
    <x v="39"/>
    <x v="35"/>
    <x v="36"/>
    <x v="0"/>
    <x v="12"/>
    <x v="3"/>
    <x v="7"/>
    <x v="2"/>
    <x v="6"/>
    <n v="6"/>
    <n v="655.04"/>
    <n v="0.15"/>
    <n v="445.09"/>
    <x v="39"/>
    <n v="1259.6999999999998"/>
    <x v="0"/>
    <s v="HIGH"/>
    <n v="4"/>
    <n v="150000"/>
    <n v="150000"/>
    <n v="117"/>
    <n v="136605.48050000001"/>
  </r>
  <r>
    <x v="40"/>
    <x v="36"/>
    <x v="37"/>
    <x v="2"/>
    <x v="7"/>
    <x v="4"/>
    <x v="2"/>
    <x v="3"/>
    <x v="10"/>
    <n v="20"/>
    <n v="75.2"/>
    <n v="0.1"/>
    <n v="49.38"/>
    <x v="40"/>
    <n v="516.4"/>
    <x v="1"/>
    <s v="NONE"/>
    <n v="2"/>
    <n v="160000"/>
    <n v="160000"/>
    <n v="156"/>
    <n v="136861.24050000001"/>
  </r>
  <r>
    <x v="41"/>
    <x v="37"/>
    <x v="15"/>
    <x v="1"/>
    <x v="2"/>
    <x v="1"/>
    <x v="6"/>
    <x v="3"/>
    <x v="19"/>
    <n v="8"/>
    <n v="31.97"/>
    <n v="0"/>
    <n v="23.29"/>
    <x v="41"/>
    <n v="69.44"/>
    <x v="0"/>
    <s v="NONE"/>
    <n v="0"/>
    <n v="130000"/>
    <n v="130000"/>
    <n v="288"/>
    <n v="137174.72900000002"/>
  </r>
  <r>
    <x v="42"/>
    <x v="38"/>
    <x v="38"/>
    <x v="0"/>
    <x v="5"/>
    <x v="3"/>
    <x v="4"/>
    <x v="1"/>
    <x v="18"/>
    <n v="13"/>
    <n v="28.37"/>
    <n v="0.15"/>
    <n v="17.12"/>
    <x v="42"/>
    <n v="146.25"/>
    <x v="1"/>
    <s v="HIGH"/>
    <n v="7"/>
    <n v="150000"/>
    <n v="150000"/>
    <n v="268"/>
    <n v="138380.24150000003"/>
  </r>
  <r>
    <x v="43"/>
    <x v="39"/>
    <x v="39"/>
    <x v="2"/>
    <x v="10"/>
    <x v="3"/>
    <x v="7"/>
    <x v="3"/>
    <x v="5"/>
    <n v="25"/>
    <n v="56.73"/>
    <n v="0.15"/>
    <n v="31.48"/>
    <x v="43"/>
    <n v="631.24999999999989"/>
    <x v="0"/>
    <s v="HIGH"/>
    <n v="3"/>
    <n v="150000"/>
    <n v="150000"/>
    <n v="166"/>
    <n v="138474.25350000002"/>
  </r>
  <r>
    <x v="44"/>
    <x v="40"/>
    <x v="22"/>
    <x v="2"/>
    <x v="1"/>
    <x v="4"/>
    <x v="0"/>
    <x v="1"/>
    <x v="2"/>
    <n v="8"/>
    <n v="12.37"/>
    <n v="0.05"/>
    <n v="6.89"/>
    <x v="44"/>
    <n v="43.839999999999996"/>
    <x v="0"/>
    <s v="NONE"/>
    <n v="3"/>
    <n v="160000"/>
    <n v="160000"/>
    <n v="360"/>
    <n v="139522.10350000003"/>
  </r>
  <r>
    <x v="45"/>
    <x v="41"/>
    <x v="40"/>
    <x v="2"/>
    <x v="16"/>
    <x v="2"/>
    <x v="1"/>
    <x v="3"/>
    <x v="10"/>
    <n v="19"/>
    <n v="55.15"/>
    <n v="0"/>
    <n v="31.49"/>
    <x v="45"/>
    <n v="449.54"/>
    <x v="1"/>
    <s v="NONE"/>
    <n v="2"/>
    <n v="120000"/>
    <n v="120000"/>
    <n v="178"/>
    <n v="143144.54350000003"/>
  </r>
  <r>
    <x v="46"/>
    <x v="42"/>
    <x v="41"/>
    <x v="0"/>
    <x v="4"/>
    <x v="0"/>
    <x v="2"/>
    <x v="2"/>
    <x v="3"/>
    <n v="15"/>
    <n v="301.87"/>
    <n v="0.2"/>
    <n v="232.41"/>
    <x v="46"/>
    <n v="1041.9000000000001"/>
    <x v="0"/>
    <s v="HIGH"/>
    <n v="6"/>
    <n v="140000"/>
    <n v="140000"/>
    <n v="110"/>
    <n v="148249.63150000002"/>
  </r>
  <r>
    <x v="47"/>
    <x v="43"/>
    <x v="42"/>
    <x v="2"/>
    <x v="16"/>
    <x v="3"/>
    <x v="1"/>
    <x v="0"/>
    <x v="14"/>
    <n v="8"/>
    <n v="797.67"/>
    <n v="0.2"/>
    <n v="629.62"/>
    <x v="47"/>
    <n v="1344.3999999999996"/>
    <x v="0"/>
    <s v="HIGH"/>
    <n v="2"/>
    <n v="150000"/>
    <n v="150000"/>
    <n v="92"/>
    <n v="156247.39150000003"/>
  </r>
  <r>
    <x v="48"/>
    <x v="13"/>
    <x v="42"/>
    <x v="0"/>
    <x v="5"/>
    <x v="2"/>
    <x v="0"/>
    <x v="2"/>
    <x v="3"/>
    <n v="16"/>
    <n v="555.4"/>
    <n v="0.1"/>
    <n v="437.07"/>
    <x v="48"/>
    <n v="1893.2799999999997"/>
    <x v="1"/>
    <s v="NONE"/>
    <n v="7"/>
    <n v="120000"/>
    <n v="120000"/>
    <n v="63"/>
    <n v="158200.31150000004"/>
  </r>
  <r>
    <x v="49"/>
    <x v="44"/>
    <x v="43"/>
    <x v="2"/>
    <x v="12"/>
    <x v="2"/>
    <x v="4"/>
    <x v="2"/>
    <x v="9"/>
    <n v="4"/>
    <n v="488.23"/>
    <n v="0"/>
    <n v="338.81"/>
    <x v="49"/>
    <n v="597.68000000000006"/>
    <x v="0"/>
    <s v="NONE"/>
    <n v="3"/>
    <n v="120000"/>
    <n v="120000"/>
    <n v="138"/>
    <n v="173822.07150000005"/>
  </r>
  <r>
    <x v="50"/>
    <x v="45"/>
    <x v="44"/>
    <x v="1"/>
    <x v="12"/>
    <x v="1"/>
    <x v="3"/>
    <x v="0"/>
    <x v="20"/>
    <n v="20"/>
    <n v="976.36"/>
    <n v="0.2"/>
    <n v="777.14"/>
    <x v="50"/>
    <n v="3984.4000000000005"/>
    <x v="1"/>
    <s v="HIGH"/>
    <n v="0"/>
    <n v="130000"/>
    <n v="130000"/>
    <n v="11"/>
    <n v="174883.13150000005"/>
  </r>
  <r>
    <x v="51"/>
    <x v="46"/>
    <x v="45"/>
    <x v="0"/>
    <x v="7"/>
    <x v="3"/>
    <x v="2"/>
    <x v="3"/>
    <x v="19"/>
    <n v="14"/>
    <n v="75.790000000000006"/>
    <n v="0"/>
    <n v="49.9"/>
    <x v="51"/>
    <n v="362.46000000000009"/>
    <x v="0"/>
    <s v="NONE"/>
    <n v="6"/>
    <n v="150000"/>
    <n v="150000"/>
    <n v="176"/>
    <n v="185711.36450000005"/>
  </r>
  <r>
    <x v="52"/>
    <x v="47"/>
    <x v="46"/>
    <x v="1"/>
    <x v="7"/>
    <x v="1"/>
    <x v="3"/>
    <x v="2"/>
    <x v="15"/>
    <n v="18"/>
    <n v="633.23"/>
    <n v="0.05"/>
    <n v="417.23"/>
    <x v="52"/>
    <n v="3888"/>
    <x v="0"/>
    <s v="NONE"/>
    <n v="0"/>
    <n v="130000"/>
    <n v="130000"/>
    <n v="39"/>
    <n v="202079.76450000005"/>
  </r>
  <r>
    <x v="53"/>
    <x v="48"/>
    <x v="47"/>
    <x v="1"/>
    <x v="0"/>
    <x v="4"/>
    <x v="6"/>
    <x v="0"/>
    <x v="13"/>
    <n v="20"/>
    <n v="818.42"/>
    <n v="0"/>
    <n v="456"/>
    <x v="53"/>
    <n v="7248.4"/>
    <x v="0"/>
    <s v="NONE"/>
    <n v="0"/>
    <n v="160000"/>
    <n v="160000"/>
    <n v="9"/>
    <n v="216803.26050000003"/>
  </r>
  <r>
    <x v="54"/>
    <x v="49"/>
    <x v="48"/>
    <x v="1"/>
    <x v="15"/>
    <x v="0"/>
    <x v="3"/>
    <x v="2"/>
    <x v="16"/>
    <n v="23"/>
    <n v="711.28"/>
    <n v="0.1"/>
    <n v="393.01"/>
    <x v="54"/>
    <n v="7320.2099999999991"/>
    <x v="0"/>
    <s v="NONE"/>
    <n v="0"/>
    <n v="140000"/>
    <n v="140000"/>
    <n v="18"/>
    <n v="217709.82850000003"/>
  </r>
  <r>
    <x v="55"/>
    <x v="50"/>
    <x v="49"/>
    <x v="1"/>
    <x v="0"/>
    <x v="2"/>
    <x v="6"/>
    <x v="3"/>
    <x v="5"/>
    <n v="23"/>
    <n v="49.27"/>
    <n v="0.2"/>
    <n v="27.31"/>
    <x v="55"/>
    <n v="505.0800000000001"/>
    <x v="0"/>
    <s v="HIGH"/>
    <n v="0"/>
    <n v="120000"/>
    <n v="120000"/>
    <n v="181"/>
    <n v="222252.61950000003"/>
  </r>
  <r>
    <x v="56"/>
    <x v="51"/>
    <x v="50"/>
    <x v="1"/>
    <x v="18"/>
    <x v="2"/>
    <x v="6"/>
    <x v="2"/>
    <x v="16"/>
    <n v="17"/>
    <n v="314.38"/>
    <n v="0.15"/>
    <n v="216.17"/>
    <x v="56"/>
    <n v="1669.5700000000002"/>
    <x v="0"/>
    <s v="HIGH"/>
    <n v="0"/>
    <n v="120000"/>
    <n v="120000"/>
    <n v="101"/>
    <n v="222349.35550000003"/>
  </r>
  <r>
    <x v="57"/>
    <x v="52"/>
    <x v="51"/>
    <x v="2"/>
    <x v="12"/>
    <x v="1"/>
    <x v="0"/>
    <x v="1"/>
    <x v="2"/>
    <n v="4"/>
    <n v="30.23"/>
    <n v="0.2"/>
    <n v="21.84"/>
    <x v="57"/>
    <n v="33.56"/>
    <x v="0"/>
    <s v="HIGH"/>
    <n v="2"/>
    <n v="130000"/>
    <n v="130000"/>
    <n v="358"/>
    <n v="222442.17550000004"/>
  </r>
  <r>
    <x v="58"/>
    <x v="53"/>
    <x v="48"/>
    <x v="0"/>
    <x v="14"/>
    <x v="2"/>
    <x v="3"/>
    <x v="1"/>
    <x v="18"/>
    <n v="7"/>
    <n v="13.26"/>
    <n v="0"/>
    <n v="7.89"/>
    <x v="58"/>
    <n v="37.590000000000003"/>
    <x v="1"/>
    <s v="NONE"/>
    <n v="4"/>
    <n v="120000"/>
    <n v="120000"/>
    <n v="362"/>
    <n v="234732.37550000005"/>
  </r>
  <r>
    <x v="59"/>
    <x v="54"/>
    <x v="52"/>
    <x v="1"/>
    <x v="19"/>
    <x v="2"/>
    <x v="4"/>
    <x v="0"/>
    <x v="0"/>
    <n v="25"/>
    <n v="614.51"/>
    <n v="0.2"/>
    <n v="339.86"/>
    <x v="59"/>
    <n v="6866.2499999999991"/>
    <x v="1"/>
    <s v="HIGH"/>
    <n v="0"/>
    <n v="120000"/>
    <n v="120000"/>
    <n v="31"/>
    <n v="235020.30150000006"/>
  </r>
  <r>
    <x v="60"/>
    <x v="55"/>
    <x v="53"/>
    <x v="2"/>
    <x v="17"/>
    <x v="1"/>
    <x v="3"/>
    <x v="3"/>
    <x v="19"/>
    <n v="4"/>
    <n v="75.77"/>
    <n v="0.05"/>
    <n v="50.99"/>
    <x v="60"/>
    <n v="99.119999999999976"/>
    <x v="0"/>
    <s v="NONE"/>
    <n v="2"/>
    <n v="130000"/>
    <n v="130000"/>
    <n v="281"/>
    <n v="235661.30150000006"/>
  </r>
  <r>
    <x v="61"/>
    <x v="56"/>
    <x v="54"/>
    <x v="1"/>
    <x v="12"/>
    <x v="1"/>
    <x v="7"/>
    <x v="1"/>
    <x v="1"/>
    <n v="20"/>
    <n v="32.049999999999997"/>
    <n v="0"/>
    <n v="23.84"/>
    <x v="61"/>
    <n v="164.19999999999993"/>
    <x v="1"/>
    <s v="NONE"/>
    <n v="0"/>
    <n v="130000"/>
    <n v="130000"/>
    <n v="209"/>
    <n v="235772.08550000007"/>
  </r>
  <r>
    <x v="62"/>
    <x v="16"/>
    <x v="55"/>
    <x v="1"/>
    <x v="19"/>
    <x v="4"/>
    <x v="1"/>
    <x v="1"/>
    <x v="18"/>
    <n v="24"/>
    <n v="5.77"/>
    <n v="0.2"/>
    <n v="3.47"/>
    <x v="62"/>
    <n v="55.199999999999989"/>
    <x v="0"/>
    <s v="HIGH"/>
    <n v="0"/>
    <n v="160000"/>
    <n v="160000"/>
    <n v="352"/>
    <n v="236213.91550000006"/>
  </r>
  <r>
    <x v="63"/>
    <x v="57"/>
    <x v="56"/>
    <x v="0"/>
    <x v="9"/>
    <x v="1"/>
    <x v="5"/>
    <x v="0"/>
    <x v="12"/>
    <n v="1"/>
    <n v="519.79999999999995"/>
    <n v="0.15"/>
    <n v="363.06"/>
    <x v="63"/>
    <n v="156.73999999999995"/>
    <x v="0"/>
    <s v="HIGH"/>
    <n v="6"/>
    <n v="130000"/>
    <n v="130000"/>
    <n v="236"/>
    <n v="236624.00350000005"/>
  </r>
  <r>
    <x v="64"/>
    <x v="58"/>
    <x v="57"/>
    <x v="2"/>
    <x v="3"/>
    <x v="4"/>
    <x v="0"/>
    <x v="1"/>
    <x v="2"/>
    <n v="21"/>
    <n v="24.41"/>
    <n v="0.2"/>
    <n v="19.12"/>
    <x v="64"/>
    <n v="111.08999999999997"/>
    <x v="1"/>
    <s v="HIGH"/>
    <n v="2"/>
    <n v="160000"/>
    <n v="160000"/>
    <n v="244"/>
    <n v="240115.37350000005"/>
  </r>
  <r>
    <x v="65"/>
    <x v="59"/>
    <x v="58"/>
    <x v="0"/>
    <x v="5"/>
    <x v="0"/>
    <x v="5"/>
    <x v="2"/>
    <x v="6"/>
    <n v="6"/>
    <n v="646.54999999999995"/>
    <n v="0.1"/>
    <n v="476.66"/>
    <x v="65"/>
    <n v="1019.3399999999996"/>
    <x v="0"/>
    <s v="NONE"/>
    <n v="6"/>
    <n v="140000"/>
    <n v="140000"/>
    <n v="114"/>
    <n v="240280.21750000006"/>
  </r>
  <r>
    <x v="66"/>
    <x v="60"/>
    <x v="59"/>
    <x v="2"/>
    <x v="2"/>
    <x v="4"/>
    <x v="6"/>
    <x v="3"/>
    <x v="19"/>
    <n v="3"/>
    <n v="57.84"/>
    <n v="0.05"/>
    <n v="42.43"/>
    <x v="66"/>
    <n v="46.230000000000011"/>
    <x v="1"/>
    <s v="NONE"/>
    <n v="2"/>
    <n v="160000"/>
    <n v="160000"/>
    <n v="327"/>
    <n v="241529.61750000005"/>
  </r>
  <r>
    <x v="67"/>
    <x v="61"/>
    <x v="60"/>
    <x v="1"/>
    <x v="11"/>
    <x v="2"/>
    <x v="3"/>
    <x v="2"/>
    <x v="9"/>
    <n v="2"/>
    <n v="624.70000000000005"/>
    <n v="0"/>
    <n v="417.07"/>
    <x v="67"/>
    <n v="415.2600000000001"/>
    <x v="1"/>
    <s v="NONE"/>
    <n v="0"/>
    <n v="120000"/>
    <n v="120000"/>
    <n v="165"/>
    <n v="241922.09750000006"/>
  </r>
  <r>
    <x v="68"/>
    <x v="62"/>
    <x v="61"/>
    <x v="2"/>
    <x v="6"/>
    <x v="3"/>
    <x v="2"/>
    <x v="3"/>
    <x v="5"/>
    <n v="11"/>
    <n v="35.68"/>
    <n v="0"/>
    <n v="27.27"/>
    <x v="68"/>
    <n v="92.51"/>
    <x v="1"/>
    <s v="NONE"/>
    <n v="3"/>
    <n v="150000"/>
    <n v="150000"/>
    <n v="248"/>
    <n v="242027.57750000007"/>
  </r>
  <r>
    <x v="69"/>
    <x v="63"/>
    <x v="62"/>
    <x v="2"/>
    <x v="16"/>
    <x v="4"/>
    <x v="1"/>
    <x v="3"/>
    <x v="19"/>
    <n v="3"/>
    <n v="35.159999999999997"/>
    <n v="0"/>
    <n v="20.36"/>
    <x v="69"/>
    <n v="44.399999999999991"/>
    <x v="0"/>
    <s v="NONE"/>
    <n v="2"/>
    <n v="160000"/>
    <n v="160000"/>
    <n v="356"/>
    <n v="243212.22750000007"/>
  </r>
  <r>
    <x v="70"/>
    <x v="64"/>
    <x v="63"/>
    <x v="1"/>
    <x v="10"/>
    <x v="3"/>
    <x v="2"/>
    <x v="3"/>
    <x v="5"/>
    <n v="25"/>
    <n v="49.88"/>
    <n v="0.05"/>
    <n v="36.909999999999997"/>
    <x v="70"/>
    <n v="324.25000000000017"/>
    <x v="1"/>
    <s v="NONE"/>
    <n v="0"/>
    <n v="150000"/>
    <n v="150000"/>
    <n v="168"/>
    <n v="253934.19750000007"/>
  </r>
  <r>
    <x v="71"/>
    <x v="65"/>
    <x v="64"/>
    <x v="0"/>
    <x v="6"/>
    <x v="4"/>
    <x v="5"/>
    <x v="2"/>
    <x v="16"/>
    <n v="21"/>
    <n v="510.57"/>
    <n v="0"/>
    <n v="371.41"/>
    <x v="71"/>
    <n v="2922.3599999999992"/>
    <x v="0"/>
    <s v="NONE"/>
    <n v="6"/>
    <n v="160000"/>
    <n v="160000"/>
    <n v="40"/>
    <n v="255461.76900000006"/>
  </r>
  <r>
    <x v="72"/>
    <x v="66"/>
    <x v="65"/>
    <x v="0"/>
    <x v="12"/>
    <x v="1"/>
    <x v="6"/>
    <x v="3"/>
    <x v="11"/>
    <n v="21"/>
    <n v="76.569999999999993"/>
    <n v="0.05"/>
    <n v="59.97"/>
    <x v="72"/>
    <n v="348.59999999999991"/>
    <x v="0"/>
    <s v="NONE"/>
    <n v="6"/>
    <n v="130000"/>
    <n v="130000"/>
    <n v="149"/>
    <n v="255989.39400000006"/>
  </r>
  <r>
    <x v="73"/>
    <x v="67"/>
    <x v="66"/>
    <x v="2"/>
    <x v="8"/>
    <x v="1"/>
    <x v="4"/>
    <x v="3"/>
    <x v="5"/>
    <n v="7"/>
    <n v="83.75"/>
    <n v="0.1"/>
    <n v="61.69"/>
    <x v="73"/>
    <n v="154.42000000000002"/>
    <x v="0"/>
    <s v="NONE"/>
    <n v="2"/>
    <n v="130000"/>
    <n v="130000"/>
    <n v="220"/>
    <n v="256721.20200000005"/>
  </r>
  <r>
    <x v="74"/>
    <x v="68"/>
    <x v="67"/>
    <x v="2"/>
    <x v="2"/>
    <x v="2"/>
    <x v="1"/>
    <x v="3"/>
    <x v="19"/>
    <n v="24"/>
    <n v="33.880000000000003"/>
    <n v="0.1"/>
    <n v="23.55"/>
    <x v="74"/>
    <n v="247.92000000000004"/>
    <x v="1"/>
    <s v="NONE"/>
    <n v="2"/>
    <n v="120000"/>
    <n v="120000"/>
    <n v="199"/>
    <n v="257465.18150000004"/>
  </r>
  <r>
    <x v="75"/>
    <x v="69"/>
    <x v="68"/>
    <x v="2"/>
    <x v="16"/>
    <x v="0"/>
    <x v="7"/>
    <x v="3"/>
    <x v="19"/>
    <n v="11"/>
    <n v="79.569999999999993"/>
    <n v="0.15"/>
    <n v="48.51"/>
    <x v="75"/>
    <n v="341.65999999999997"/>
    <x v="0"/>
    <s v="HIGH"/>
    <n v="2"/>
    <n v="140000"/>
    <n v="140000"/>
    <n v="197"/>
    <n v="280965.08450000006"/>
  </r>
  <r>
    <x v="76"/>
    <x v="70"/>
    <x v="69"/>
    <x v="1"/>
    <x v="4"/>
    <x v="4"/>
    <x v="7"/>
    <x v="0"/>
    <x v="13"/>
    <n v="21"/>
    <n v="1177.94"/>
    <n v="0.05"/>
    <n v="931.99"/>
    <x v="76"/>
    <n v="5164.9500000000007"/>
    <x v="0"/>
    <s v="NONE"/>
    <n v="0"/>
    <n v="160000"/>
    <n v="160000"/>
    <n v="3"/>
    <n v="281146.98450000008"/>
  </r>
  <r>
    <x v="77"/>
    <x v="71"/>
    <x v="70"/>
    <x v="1"/>
    <x v="8"/>
    <x v="2"/>
    <x v="1"/>
    <x v="3"/>
    <x v="11"/>
    <n v="5"/>
    <n v="42.8"/>
    <n v="0.15"/>
    <n v="33.92"/>
    <x v="77"/>
    <n v="44.399999999999977"/>
    <x v="0"/>
    <s v="HIGH"/>
    <n v="0"/>
    <n v="120000"/>
    <n v="120000"/>
    <n v="323"/>
    <n v="281442.90450000006"/>
  </r>
  <r>
    <x v="78"/>
    <x v="12"/>
    <x v="71"/>
    <x v="1"/>
    <x v="3"/>
    <x v="4"/>
    <x v="2"/>
    <x v="1"/>
    <x v="18"/>
    <n v="18"/>
    <n v="16.440000000000001"/>
    <n v="0"/>
    <n v="11.62"/>
    <x v="78"/>
    <n v="86.760000000000034"/>
    <x v="1"/>
    <s v="NONE"/>
    <n v="0"/>
    <n v="160000"/>
    <n v="160000"/>
    <n v="278"/>
    <n v="284585.96650000004"/>
  </r>
  <r>
    <x v="79"/>
    <x v="72"/>
    <x v="72"/>
    <x v="2"/>
    <x v="0"/>
    <x v="0"/>
    <x v="5"/>
    <x v="0"/>
    <x v="12"/>
    <n v="4"/>
    <n v="924.43"/>
    <n v="0.15"/>
    <n v="710.1"/>
    <x v="79"/>
    <n v="857.31999999999971"/>
    <x v="0"/>
    <s v="HIGH"/>
    <n v="2"/>
    <n v="140000"/>
    <n v="140000"/>
    <n v="122"/>
    <n v="284780.84650000004"/>
  </r>
  <r>
    <x v="80"/>
    <x v="63"/>
    <x v="62"/>
    <x v="2"/>
    <x v="15"/>
    <x v="3"/>
    <x v="1"/>
    <x v="1"/>
    <x v="1"/>
    <n v="12"/>
    <n v="16.239999999999998"/>
    <n v="0"/>
    <n v="9.92"/>
    <x v="80"/>
    <n v="75.839999999999975"/>
    <x v="1"/>
    <s v="NONE"/>
    <n v="2"/>
    <n v="150000"/>
    <n v="150000"/>
    <n v="316"/>
    <n v="287775.52200000006"/>
  </r>
  <r>
    <x v="81"/>
    <x v="73"/>
    <x v="73"/>
    <x v="2"/>
    <x v="4"/>
    <x v="2"/>
    <x v="0"/>
    <x v="2"/>
    <x v="3"/>
    <n v="19"/>
    <n v="165.91"/>
    <n v="0.05"/>
    <n v="117.71"/>
    <x v="81"/>
    <n v="915.80000000000007"/>
    <x v="0"/>
    <s v="NONE"/>
    <n v="3"/>
    <n v="120000"/>
    <n v="120000"/>
    <n v="123"/>
    <n v="303125.29200000007"/>
  </r>
  <r>
    <x v="82"/>
    <x v="74"/>
    <x v="74"/>
    <x v="0"/>
    <x v="16"/>
    <x v="0"/>
    <x v="4"/>
    <x v="0"/>
    <x v="14"/>
    <n v="15"/>
    <n v="1137.02"/>
    <n v="0.1"/>
    <n v="710.4"/>
    <x v="82"/>
    <n v="6399.3"/>
    <x v="0"/>
    <s v="NONE"/>
    <n v="7"/>
    <n v="140000"/>
    <n v="140000"/>
    <n v="14"/>
    <n v="303402.93300000008"/>
  </r>
  <r>
    <x v="83"/>
    <x v="75"/>
    <x v="75"/>
    <x v="0"/>
    <x v="6"/>
    <x v="4"/>
    <x v="5"/>
    <x v="1"/>
    <x v="4"/>
    <n v="13"/>
    <n v="23.73"/>
    <n v="0.1"/>
    <n v="14.81"/>
    <x v="83"/>
    <n v="115.96"/>
    <x v="0"/>
    <s v="NONE"/>
    <n v="6"/>
    <n v="160000"/>
    <n v="160000"/>
    <n v="283"/>
    <n v="304596.69300000009"/>
  </r>
  <r>
    <x v="84"/>
    <x v="76"/>
    <x v="76"/>
    <x v="1"/>
    <x v="13"/>
    <x v="3"/>
    <x v="1"/>
    <x v="3"/>
    <x v="19"/>
    <n v="24"/>
    <n v="49.74"/>
    <n v="0"/>
    <n v="37"/>
    <x v="84"/>
    <n v="305.76000000000005"/>
    <x v="0"/>
    <s v="NONE"/>
    <n v="0"/>
    <n v="150000"/>
    <n v="150000"/>
    <n v="167"/>
    <n v="306094.74900000007"/>
  </r>
  <r>
    <x v="85"/>
    <x v="77"/>
    <x v="77"/>
    <x v="1"/>
    <x v="5"/>
    <x v="0"/>
    <x v="5"/>
    <x v="2"/>
    <x v="9"/>
    <n v="21"/>
    <n v="89.17"/>
    <n v="0.2"/>
    <n v="58.87"/>
    <x v="85"/>
    <n v="636.30000000000007"/>
    <x v="0"/>
    <s v="HIGH"/>
    <n v="0"/>
    <n v="140000"/>
    <n v="140000"/>
    <n v="151"/>
    <n v="306730.32900000009"/>
  </r>
  <r>
    <x v="86"/>
    <x v="78"/>
    <x v="78"/>
    <x v="0"/>
    <x v="9"/>
    <x v="4"/>
    <x v="0"/>
    <x v="1"/>
    <x v="2"/>
    <n v="18"/>
    <n v="35.31"/>
    <n v="0"/>
    <n v="24.11"/>
    <x v="86"/>
    <n v="201.60000000000005"/>
    <x v="0"/>
    <s v="NONE"/>
    <n v="6"/>
    <n v="160000"/>
    <n v="160000"/>
    <n v="210"/>
    <n v="307081.97900000011"/>
  </r>
  <r>
    <x v="87"/>
    <x v="79"/>
    <x v="79"/>
    <x v="0"/>
    <x v="12"/>
    <x v="0"/>
    <x v="6"/>
    <x v="3"/>
    <x v="19"/>
    <n v="5"/>
    <n v="70.33"/>
    <n v="0"/>
    <n v="53.8"/>
    <x v="87"/>
    <n v="82.65"/>
    <x v="0"/>
    <s v="NONE"/>
    <n v="7"/>
    <n v="140000"/>
    <n v="140000"/>
    <n v="261"/>
    <n v="307733.0450000001"/>
  </r>
  <r>
    <x v="88"/>
    <x v="78"/>
    <x v="80"/>
    <x v="2"/>
    <x v="16"/>
    <x v="0"/>
    <x v="5"/>
    <x v="3"/>
    <x v="11"/>
    <n v="12"/>
    <n v="63.83"/>
    <n v="0.15"/>
    <n v="39.29"/>
    <x v="88"/>
    <n v="294.48"/>
    <x v="1"/>
    <s v="HIGH"/>
    <n v="3"/>
    <n v="140000"/>
    <n v="140000"/>
    <n v="207"/>
    <n v="311400.01300000009"/>
  </r>
  <r>
    <x v="89"/>
    <x v="80"/>
    <x v="81"/>
    <x v="1"/>
    <x v="14"/>
    <x v="3"/>
    <x v="2"/>
    <x v="2"/>
    <x v="15"/>
    <n v="8"/>
    <n v="539.26"/>
    <n v="0.15"/>
    <n v="407.66"/>
    <x v="89"/>
    <n v="1052.7999999999997"/>
    <x v="0"/>
    <s v="HIGH"/>
    <n v="0"/>
    <n v="150000"/>
    <n v="150000"/>
    <n v="109"/>
    <n v="312241.51300000009"/>
  </r>
  <r>
    <x v="90"/>
    <x v="81"/>
    <x v="37"/>
    <x v="0"/>
    <x v="19"/>
    <x v="3"/>
    <x v="6"/>
    <x v="2"/>
    <x v="3"/>
    <n v="4"/>
    <n v="233.75"/>
    <n v="0.1"/>
    <n v="136.49"/>
    <x v="90"/>
    <n v="389.03999999999996"/>
    <x v="1"/>
    <s v="NONE"/>
    <n v="7"/>
    <n v="150000"/>
    <n v="150000"/>
    <n v="185"/>
    <n v="313094.51300000009"/>
  </r>
  <r>
    <x v="91"/>
    <x v="82"/>
    <x v="82"/>
    <x v="2"/>
    <x v="1"/>
    <x v="1"/>
    <x v="5"/>
    <x v="3"/>
    <x v="7"/>
    <n v="20"/>
    <n v="42.65"/>
    <n v="0"/>
    <n v="23.81"/>
    <x v="91"/>
    <n v="376.8"/>
    <x v="1"/>
    <s v="NONE"/>
    <n v="2"/>
    <n v="130000"/>
    <n v="130000"/>
    <n v="184"/>
    <n v="313866.37850000011"/>
  </r>
  <r>
    <x v="92"/>
    <x v="83"/>
    <x v="83"/>
    <x v="1"/>
    <x v="12"/>
    <x v="0"/>
    <x v="2"/>
    <x v="3"/>
    <x v="10"/>
    <n v="21"/>
    <n v="38.69"/>
    <n v="0.05"/>
    <n v="23.95"/>
    <x v="92"/>
    <n v="309.53999999999996"/>
    <x v="0"/>
    <s v="NONE"/>
    <n v="0"/>
    <n v="140000"/>
    <n v="140000"/>
    <n v="193"/>
    <n v="317078.1785000001"/>
  </r>
  <r>
    <x v="93"/>
    <x v="61"/>
    <x v="78"/>
    <x v="0"/>
    <x v="17"/>
    <x v="3"/>
    <x v="2"/>
    <x v="2"/>
    <x v="9"/>
    <n v="5"/>
    <n v="642.36"/>
    <n v="0"/>
    <n v="364.32"/>
    <x v="93"/>
    <n v="1390.2"/>
    <x v="0"/>
    <s v="NONE"/>
    <n v="5"/>
    <n v="150000"/>
    <n v="150000"/>
    <n v="121"/>
    <n v="317168.29850000009"/>
  </r>
  <r>
    <x v="94"/>
    <x v="84"/>
    <x v="28"/>
    <x v="0"/>
    <x v="11"/>
    <x v="2"/>
    <x v="3"/>
    <x v="1"/>
    <x v="4"/>
    <n v="5"/>
    <n v="22.53"/>
    <n v="0.2"/>
    <n v="13.37"/>
    <x v="94"/>
    <n v="45.800000000000011"/>
    <x v="1"/>
    <s v="HIGH"/>
    <n v="4"/>
    <n v="120000"/>
    <n v="120000"/>
    <n v="366"/>
    <n v="317198.8220000001"/>
  </r>
  <r>
    <x v="95"/>
    <x v="85"/>
    <x v="84"/>
    <x v="0"/>
    <x v="15"/>
    <x v="2"/>
    <x v="1"/>
    <x v="1"/>
    <x v="4"/>
    <n v="9"/>
    <n v="3.99"/>
    <n v="0.15"/>
    <n v="2.61"/>
    <x v="95"/>
    <n v="12.420000000000003"/>
    <x v="1"/>
    <s v="HIGH"/>
    <n v="4"/>
    <n v="120000"/>
    <n v="120000"/>
    <n v="390"/>
    <n v="317622.93800000008"/>
  </r>
  <r>
    <x v="96"/>
    <x v="86"/>
    <x v="85"/>
    <x v="2"/>
    <x v="13"/>
    <x v="2"/>
    <x v="5"/>
    <x v="3"/>
    <x v="19"/>
    <n v="17"/>
    <n v="27.72"/>
    <n v="0.1"/>
    <n v="15.55"/>
    <x v="96"/>
    <n v="206.88999999999996"/>
    <x v="1"/>
    <s v="NONE"/>
    <n v="3"/>
    <n v="120000"/>
    <n v="120000"/>
    <n v="240"/>
    <n v="319955.41600000008"/>
  </r>
  <r>
    <x v="97"/>
    <x v="87"/>
    <x v="0"/>
    <x v="1"/>
    <x v="4"/>
    <x v="4"/>
    <x v="7"/>
    <x v="0"/>
    <x v="0"/>
    <n v="4"/>
    <n v="613.80999999999995"/>
    <n v="0.05"/>
    <n v="348.87"/>
    <x v="97"/>
    <n v="1059.7599999999998"/>
    <x v="0"/>
    <s v="NONE"/>
    <n v="0"/>
    <n v="160000"/>
    <n v="160000"/>
    <n v="132"/>
    <n v="328555.00600000011"/>
  </r>
  <r>
    <x v="98"/>
    <x v="88"/>
    <x v="86"/>
    <x v="2"/>
    <x v="2"/>
    <x v="1"/>
    <x v="2"/>
    <x v="2"/>
    <x v="3"/>
    <n v="20"/>
    <n v="452.61"/>
    <n v="0.05"/>
    <n v="306.14"/>
    <x v="98"/>
    <n v="2929.4000000000005"/>
    <x v="1"/>
    <s v="NONE"/>
    <n v="2"/>
    <n v="130000"/>
    <n v="130000"/>
    <n v="54"/>
    <n v="331920.70200000011"/>
  </r>
  <r>
    <x v="99"/>
    <x v="89"/>
    <x v="87"/>
    <x v="2"/>
    <x v="10"/>
    <x v="2"/>
    <x v="7"/>
    <x v="0"/>
    <x v="17"/>
    <n v="8"/>
    <n v="525.89"/>
    <n v="0.2"/>
    <n v="348.86"/>
    <x v="99"/>
    <n v="1416.2399999999998"/>
    <x v="0"/>
    <s v="HIGH"/>
    <n v="2"/>
    <n v="120000"/>
    <n v="120000"/>
    <n v="116"/>
    <n v="332117.43800000008"/>
  </r>
  <r>
    <x v="100"/>
    <x v="90"/>
    <x v="88"/>
    <x v="1"/>
    <x v="18"/>
    <x v="0"/>
    <x v="4"/>
    <x v="3"/>
    <x v="19"/>
    <n v="16"/>
    <n v="15.37"/>
    <n v="0.2"/>
    <n v="8.7799999999999994"/>
    <x v="100"/>
    <n v="105.44"/>
    <x v="1"/>
    <s v="HIGH"/>
    <n v="0"/>
    <n v="140000"/>
    <n v="140000"/>
    <n v="315"/>
    <n v="333282.23800000007"/>
  </r>
  <r>
    <x v="101"/>
    <x v="91"/>
    <x v="89"/>
    <x v="1"/>
    <x v="13"/>
    <x v="3"/>
    <x v="2"/>
    <x v="2"/>
    <x v="9"/>
    <n v="4"/>
    <n v="364"/>
    <n v="0.2"/>
    <n v="260.75"/>
    <x v="101"/>
    <n v="413"/>
    <x v="0"/>
    <s v="HIGH"/>
    <n v="0"/>
    <n v="150000"/>
    <n v="150000"/>
    <n v="169"/>
    <n v="333639.87000000005"/>
  </r>
  <r>
    <x v="102"/>
    <x v="92"/>
    <x v="90"/>
    <x v="0"/>
    <x v="13"/>
    <x v="3"/>
    <x v="0"/>
    <x v="1"/>
    <x v="2"/>
    <n v="22"/>
    <n v="20.32"/>
    <n v="0.2"/>
    <n v="11.73"/>
    <x v="102"/>
    <n v="188.98"/>
    <x v="1"/>
    <s v="HIGH"/>
    <n v="6"/>
    <n v="150000"/>
    <n v="150000"/>
    <n v="258"/>
    <n v="348463.47000000003"/>
  </r>
  <r>
    <x v="103"/>
    <x v="93"/>
    <x v="91"/>
    <x v="1"/>
    <x v="14"/>
    <x v="2"/>
    <x v="1"/>
    <x v="2"/>
    <x v="15"/>
    <n v="22"/>
    <n v="673.8"/>
    <n v="0"/>
    <n v="375.47"/>
    <x v="103"/>
    <n v="6563.2599999999984"/>
    <x v="0"/>
    <s v="NONE"/>
    <n v="0"/>
    <n v="120000"/>
    <n v="120000"/>
    <n v="17"/>
    <n v="348614.27"/>
  </r>
  <r>
    <x v="104"/>
    <x v="94"/>
    <x v="92"/>
    <x v="0"/>
    <x v="5"/>
    <x v="1"/>
    <x v="7"/>
    <x v="1"/>
    <x v="1"/>
    <n v="5"/>
    <n v="30.16"/>
    <n v="0"/>
    <n v="17.28"/>
    <x v="104"/>
    <n v="64.399999999999991"/>
    <x v="0"/>
    <s v="NONE"/>
    <n v="5"/>
    <n v="130000"/>
    <n v="130000"/>
    <n v="333"/>
    <n v="349328.55499999999"/>
  </r>
  <r>
    <x v="105"/>
    <x v="20"/>
    <x v="93"/>
    <x v="1"/>
    <x v="18"/>
    <x v="1"/>
    <x v="3"/>
    <x v="3"/>
    <x v="19"/>
    <n v="11"/>
    <n v="72.150000000000006"/>
    <n v="0.1"/>
    <n v="50.44"/>
    <x v="105"/>
    <n v="238.81000000000009"/>
    <x v="1"/>
    <s v="NONE"/>
    <n v="0"/>
    <n v="130000"/>
    <n v="130000"/>
    <n v="202"/>
    <n v="357421.73800000001"/>
  </r>
  <r>
    <x v="106"/>
    <x v="95"/>
    <x v="94"/>
    <x v="1"/>
    <x v="2"/>
    <x v="3"/>
    <x v="6"/>
    <x v="0"/>
    <x v="17"/>
    <n v="14"/>
    <n v="608.51"/>
    <n v="0.05"/>
    <n v="397.69"/>
    <x v="106"/>
    <n v="2951.48"/>
    <x v="0"/>
    <s v="NONE"/>
    <n v="0"/>
    <n v="150000"/>
    <n v="150000"/>
    <n v="61"/>
    <n v="358184.478"/>
  </r>
  <r>
    <x v="107"/>
    <x v="96"/>
    <x v="95"/>
    <x v="1"/>
    <x v="13"/>
    <x v="0"/>
    <x v="6"/>
    <x v="3"/>
    <x v="11"/>
    <n v="22"/>
    <n v="34.67"/>
    <n v="0"/>
    <n v="22.49"/>
    <x v="107"/>
    <n v="267.96000000000009"/>
    <x v="0"/>
    <s v="NONE"/>
    <n v="0"/>
    <n v="140000"/>
    <n v="140000"/>
    <n v="194"/>
    <n v="358192.26400000002"/>
  </r>
  <r>
    <x v="108"/>
    <x v="97"/>
    <x v="96"/>
    <x v="2"/>
    <x v="2"/>
    <x v="1"/>
    <x v="3"/>
    <x v="1"/>
    <x v="4"/>
    <n v="4"/>
    <n v="2.29"/>
    <n v="0.15"/>
    <n v="1.51"/>
    <x v="108"/>
    <n v="3.12"/>
    <x v="0"/>
    <s v="HIGH"/>
    <n v="3"/>
    <n v="130000"/>
    <n v="130000"/>
    <n v="399"/>
    <n v="360383.46400000004"/>
  </r>
  <r>
    <x v="109"/>
    <x v="46"/>
    <x v="97"/>
    <x v="2"/>
    <x v="18"/>
    <x v="2"/>
    <x v="5"/>
    <x v="2"/>
    <x v="9"/>
    <n v="24"/>
    <n v="91.3"/>
    <n v="0"/>
    <n v="60.71"/>
    <x v="109"/>
    <n v="734.15999999999985"/>
    <x v="1"/>
    <s v="NONE"/>
    <n v="3"/>
    <n v="120000"/>
    <n v="120000"/>
    <n v="135"/>
    <n v="360535.17400000006"/>
  </r>
  <r>
    <x v="110"/>
    <x v="98"/>
    <x v="98"/>
    <x v="0"/>
    <x v="1"/>
    <x v="4"/>
    <x v="3"/>
    <x v="3"/>
    <x v="7"/>
    <n v="13"/>
    <n v="11.67"/>
    <n v="0"/>
    <n v="6.92"/>
    <x v="110"/>
    <n v="61.75"/>
    <x v="0"/>
    <s v="NONE"/>
    <n v="7"/>
    <n v="160000"/>
    <n v="160000"/>
    <n v="332"/>
    <n v="360660.15400000004"/>
  </r>
  <r>
    <x v="111"/>
    <x v="99"/>
    <x v="99"/>
    <x v="1"/>
    <x v="1"/>
    <x v="1"/>
    <x v="7"/>
    <x v="3"/>
    <x v="11"/>
    <n v="3"/>
    <n v="41.66"/>
    <n v="0"/>
    <n v="30.68"/>
    <x v="111"/>
    <n v="32.939999999999991"/>
    <x v="0"/>
    <s v="NONE"/>
    <n v="0"/>
    <n v="130000"/>
    <n v="130000"/>
    <n v="346"/>
    <n v="369170.45800000004"/>
  </r>
  <r>
    <x v="112"/>
    <x v="100"/>
    <x v="100"/>
    <x v="2"/>
    <x v="7"/>
    <x v="3"/>
    <x v="0"/>
    <x v="0"/>
    <x v="20"/>
    <n v="12"/>
    <n v="886.49"/>
    <n v="0.2"/>
    <n v="630.61"/>
    <x v="112"/>
    <n v="3070.56"/>
    <x v="1"/>
    <s v="HIGH"/>
    <n v="2"/>
    <n v="150000"/>
    <n v="150000"/>
    <n v="56"/>
    <n v="369629.07400000002"/>
  </r>
  <r>
    <x v="113"/>
    <x v="101"/>
    <x v="101"/>
    <x v="1"/>
    <x v="9"/>
    <x v="1"/>
    <x v="4"/>
    <x v="2"/>
    <x v="16"/>
    <n v="3"/>
    <n v="191.09"/>
    <n v="0.2"/>
    <n v="135.1"/>
    <x v="113"/>
    <n v="167.97000000000003"/>
    <x v="0"/>
    <s v="HIGH"/>
    <n v="0"/>
    <n v="130000"/>
    <n v="130000"/>
    <n v="233"/>
    <n v="369940.95400000003"/>
  </r>
  <r>
    <x v="114"/>
    <x v="102"/>
    <x v="102"/>
    <x v="2"/>
    <x v="8"/>
    <x v="1"/>
    <x v="5"/>
    <x v="1"/>
    <x v="2"/>
    <n v="15"/>
    <n v="25.99"/>
    <n v="0.2"/>
    <n v="16.079999999999998"/>
    <x v="114"/>
    <n v="148.65"/>
    <x v="1"/>
    <s v="HIGH"/>
    <n v="3"/>
    <n v="130000"/>
    <n v="130000"/>
    <n v="271"/>
    <n v="382018.35400000005"/>
  </r>
  <r>
    <x v="115"/>
    <x v="103"/>
    <x v="103"/>
    <x v="0"/>
    <x v="8"/>
    <x v="4"/>
    <x v="1"/>
    <x v="0"/>
    <x v="13"/>
    <n v="12"/>
    <n v="1006.45"/>
    <n v="0"/>
    <n v="715.75"/>
    <x v="115"/>
    <n v="3488.4000000000005"/>
    <x v="0"/>
    <s v="NONE"/>
    <n v="4"/>
    <n v="160000"/>
    <n v="160000"/>
    <n v="32"/>
    <n v="392043.47400000005"/>
  </r>
  <r>
    <x v="116"/>
    <x v="104"/>
    <x v="75"/>
    <x v="1"/>
    <x v="10"/>
    <x v="2"/>
    <x v="2"/>
    <x v="0"/>
    <x v="14"/>
    <n v="16"/>
    <n v="626.57000000000005"/>
    <n v="0"/>
    <n v="415.18"/>
    <x v="116"/>
    <n v="3382.2400000000007"/>
    <x v="0"/>
    <s v="NONE"/>
    <n v="0"/>
    <n v="120000"/>
    <n v="120000"/>
    <n v="44"/>
    <n v="400734.89400000003"/>
  </r>
  <r>
    <x v="117"/>
    <x v="105"/>
    <x v="104"/>
    <x v="1"/>
    <x v="8"/>
    <x v="1"/>
    <x v="6"/>
    <x v="2"/>
    <x v="3"/>
    <n v="17"/>
    <n v="511.26"/>
    <n v="0"/>
    <n v="328.85"/>
    <x v="117"/>
    <n v="3100.9699999999993"/>
    <x v="0"/>
    <s v="NONE"/>
    <n v="0"/>
    <n v="130000"/>
    <n v="130000"/>
    <n v="53"/>
    <n v="400823.054"/>
  </r>
  <r>
    <x v="118"/>
    <x v="106"/>
    <x v="105"/>
    <x v="2"/>
    <x v="15"/>
    <x v="3"/>
    <x v="5"/>
    <x v="1"/>
    <x v="18"/>
    <n v="4"/>
    <n v="23.2"/>
    <n v="0.05"/>
    <n v="14.41"/>
    <x v="118"/>
    <n v="35.159999999999997"/>
    <x v="0"/>
    <s v="NONE"/>
    <n v="3"/>
    <n v="150000"/>
    <n v="150000"/>
    <n v="367"/>
    <n v="418167.81400000001"/>
  </r>
  <r>
    <x v="119"/>
    <x v="107"/>
    <x v="106"/>
    <x v="1"/>
    <x v="4"/>
    <x v="0"/>
    <x v="4"/>
    <x v="2"/>
    <x v="16"/>
    <n v="23"/>
    <n v="754.12"/>
    <n v="0"/>
    <n v="520.14"/>
    <x v="119"/>
    <n v="5381.5400000000009"/>
    <x v="1"/>
    <s v="NONE"/>
    <n v="0"/>
    <n v="140000"/>
    <n v="140000"/>
    <n v="6"/>
    <n v="423030.21400000004"/>
  </r>
  <r>
    <x v="120"/>
    <x v="82"/>
    <x v="107"/>
    <x v="0"/>
    <x v="7"/>
    <x v="4"/>
    <x v="2"/>
    <x v="0"/>
    <x v="17"/>
    <n v="12"/>
    <n v="405.2"/>
    <n v="0"/>
    <n v="257.48"/>
    <x v="120"/>
    <n v="1772.6399999999996"/>
    <x v="0"/>
    <s v="NONE"/>
    <n v="7"/>
    <n v="160000"/>
    <n v="160000"/>
    <n v="94"/>
    <n v="432793.10150000005"/>
  </r>
  <r>
    <x v="121"/>
    <x v="108"/>
    <x v="108"/>
    <x v="1"/>
    <x v="19"/>
    <x v="3"/>
    <x v="5"/>
    <x v="2"/>
    <x v="6"/>
    <n v="25"/>
    <n v="459.43"/>
    <n v="0.15"/>
    <n v="354.18"/>
    <x v="121"/>
    <n v="2631.25"/>
    <x v="0"/>
    <s v="HIGH"/>
    <n v="0"/>
    <n v="150000"/>
    <n v="150000"/>
    <n v="46"/>
    <n v="444396.32550000004"/>
  </r>
  <r>
    <x v="122"/>
    <x v="72"/>
    <x v="109"/>
    <x v="0"/>
    <x v="5"/>
    <x v="4"/>
    <x v="4"/>
    <x v="2"/>
    <x v="9"/>
    <n v="23"/>
    <n v="630.61"/>
    <n v="0.2"/>
    <n v="489.14"/>
    <x v="122"/>
    <n v="3253.8100000000004"/>
    <x v="0"/>
    <s v="HIGH"/>
    <n v="7"/>
    <n v="160000"/>
    <n v="160000"/>
    <n v="34"/>
    <n v="444559.67550000001"/>
  </r>
  <r>
    <x v="123"/>
    <x v="70"/>
    <x v="69"/>
    <x v="1"/>
    <x v="14"/>
    <x v="4"/>
    <x v="3"/>
    <x v="1"/>
    <x v="4"/>
    <n v="15"/>
    <n v="10.89"/>
    <n v="0"/>
    <n v="6.83"/>
    <x v="123"/>
    <n v="60.900000000000006"/>
    <x v="0"/>
    <s v="NONE"/>
    <n v="0"/>
    <n v="160000"/>
    <n v="160000"/>
    <n v="328"/>
    <n v="445078.37550000002"/>
  </r>
  <r>
    <x v="124"/>
    <x v="109"/>
    <x v="43"/>
    <x v="0"/>
    <x v="4"/>
    <x v="0"/>
    <x v="7"/>
    <x v="3"/>
    <x v="5"/>
    <n v="7"/>
    <n v="74.099999999999994"/>
    <n v="0"/>
    <n v="56.93"/>
    <x v="124"/>
    <n v="120.18999999999997"/>
    <x v="0"/>
    <s v="NONE"/>
    <n v="4"/>
    <n v="140000"/>
    <n v="140000"/>
    <n v="222"/>
    <n v="450644.42550000001"/>
  </r>
  <r>
    <x v="125"/>
    <x v="110"/>
    <x v="110"/>
    <x v="0"/>
    <x v="12"/>
    <x v="2"/>
    <x v="3"/>
    <x v="0"/>
    <x v="17"/>
    <n v="25"/>
    <n v="234.36"/>
    <n v="0.05"/>
    <n v="181.94"/>
    <x v="125"/>
    <n v="1310.5000000000005"/>
    <x v="1"/>
    <s v="NONE"/>
    <n v="5"/>
    <n v="120000"/>
    <n v="120000"/>
    <n v="87"/>
    <n v="456253.79550000001"/>
  </r>
  <r>
    <x v="126"/>
    <x v="61"/>
    <x v="111"/>
    <x v="0"/>
    <x v="11"/>
    <x v="0"/>
    <x v="7"/>
    <x v="2"/>
    <x v="15"/>
    <n v="13"/>
    <n v="431.49"/>
    <n v="0"/>
    <n v="278.98"/>
    <x v="126"/>
    <n v="1982.6299999999999"/>
    <x v="0"/>
    <s v="NONE"/>
    <n v="4"/>
    <n v="140000"/>
    <n v="140000"/>
    <n v="86"/>
    <n v="456861.65150000004"/>
  </r>
  <r>
    <x v="127"/>
    <x v="111"/>
    <x v="112"/>
    <x v="0"/>
    <x v="15"/>
    <x v="3"/>
    <x v="4"/>
    <x v="0"/>
    <x v="13"/>
    <n v="2"/>
    <n v="379.91"/>
    <n v="0.2"/>
    <n v="253.82"/>
    <x v="127"/>
    <n v="252.18000000000006"/>
    <x v="0"/>
    <s v="HIGH"/>
    <n v="5"/>
    <n v="150000"/>
    <n v="150000"/>
    <n v="212"/>
    <n v="475188.06350000005"/>
  </r>
  <r>
    <x v="128"/>
    <x v="112"/>
    <x v="113"/>
    <x v="0"/>
    <x v="2"/>
    <x v="3"/>
    <x v="0"/>
    <x v="0"/>
    <x v="0"/>
    <n v="18"/>
    <n v="1131.26"/>
    <n v="0.1"/>
    <n v="771.45"/>
    <x v="128"/>
    <n v="6476.579999999999"/>
    <x v="1"/>
    <s v="NONE"/>
    <n v="4"/>
    <n v="150000"/>
    <n v="150000"/>
    <n v="5"/>
    <n v="475575.46350000007"/>
  </r>
  <r>
    <x v="129"/>
    <x v="113"/>
    <x v="114"/>
    <x v="1"/>
    <x v="0"/>
    <x v="3"/>
    <x v="7"/>
    <x v="1"/>
    <x v="1"/>
    <n v="20"/>
    <n v="19.37"/>
    <n v="0"/>
    <n v="14.71"/>
    <x v="129"/>
    <n v="93.2"/>
    <x v="0"/>
    <s v="NONE"/>
    <n v="0"/>
    <n v="150000"/>
    <n v="150000"/>
    <n v="249"/>
    <n v="478288.89150000009"/>
  </r>
  <r>
    <x v="130"/>
    <x v="114"/>
    <x v="115"/>
    <x v="1"/>
    <x v="1"/>
    <x v="0"/>
    <x v="1"/>
    <x v="2"/>
    <x v="6"/>
    <n v="12"/>
    <n v="238.02"/>
    <n v="0.05"/>
    <n v="142.06"/>
    <x v="130"/>
    <n v="1151.52"/>
    <x v="0"/>
    <s v="NONE"/>
    <n v="0"/>
    <n v="140000"/>
    <n v="140000"/>
    <n v="127"/>
    <n v="486473.58150000009"/>
  </r>
  <r>
    <x v="131"/>
    <x v="115"/>
    <x v="116"/>
    <x v="2"/>
    <x v="17"/>
    <x v="4"/>
    <x v="7"/>
    <x v="0"/>
    <x v="14"/>
    <n v="9"/>
    <n v="909.41"/>
    <n v="0"/>
    <n v="679.45"/>
    <x v="131"/>
    <n v="2069.6399999999994"/>
    <x v="0"/>
    <s v="NONE"/>
    <n v="2"/>
    <n v="160000"/>
    <n v="160000"/>
    <n v="59"/>
    <n v="493195.3305000001"/>
  </r>
  <r>
    <x v="132"/>
    <x v="116"/>
    <x v="117"/>
    <x v="2"/>
    <x v="5"/>
    <x v="0"/>
    <x v="1"/>
    <x v="0"/>
    <x v="20"/>
    <n v="18"/>
    <n v="439.33"/>
    <n v="0.15"/>
    <n v="260.86"/>
    <x v="132"/>
    <n v="3212.4599999999996"/>
    <x v="1"/>
    <s v="HIGH"/>
    <n v="3"/>
    <n v="140000"/>
    <n v="140000"/>
    <n v="78"/>
    <n v="493842.2705000001"/>
  </r>
  <r>
    <x v="133"/>
    <x v="117"/>
    <x v="118"/>
    <x v="2"/>
    <x v="8"/>
    <x v="3"/>
    <x v="1"/>
    <x v="2"/>
    <x v="6"/>
    <n v="7"/>
    <n v="92.42"/>
    <n v="0"/>
    <n v="71.3"/>
    <x v="133"/>
    <n v="147.84000000000003"/>
    <x v="0"/>
    <s v="NONE"/>
    <n v="3"/>
    <n v="150000"/>
    <n v="150000"/>
    <n v="208"/>
    <n v="494026.45450000011"/>
  </r>
  <r>
    <x v="134"/>
    <x v="118"/>
    <x v="119"/>
    <x v="1"/>
    <x v="2"/>
    <x v="4"/>
    <x v="1"/>
    <x v="3"/>
    <x v="7"/>
    <n v="7"/>
    <n v="32.89"/>
    <n v="0.2"/>
    <n v="24.51"/>
    <x v="134"/>
    <n v="58.66"/>
    <x v="1"/>
    <s v="HIGH"/>
    <n v="0"/>
    <n v="160000"/>
    <n v="160000"/>
    <n v="322"/>
    <n v="494145.35650000011"/>
  </r>
  <r>
    <x v="135"/>
    <x v="60"/>
    <x v="59"/>
    <x v="2"/>
    <x v="8"/>
    <x v="4"/>
    <x v="7"/>
    <x v="1"/>
    <x v="8"/>
    <n v="6"/>
    <n v="20.86"/>
    <n v="0.05"/>
    <n v="13.39"/>
    <x v="135"/>
    <n v="44.819999999999993"/>
    <x v="1"/>
    <s v="NONE"/>
    <n v="2"/>
    <n v="160000"/>
    <n v="160000"/>
    <n v="349"/>
    <n v="494628.4285000001"/>
  </r>
  <r>
    <x v="136"/>
    <x v="119"/>
    <x v="120"/>
    <x v="2"/>
    <x v="9"/>
    <x v="2"/>
    <x v="3"/>
    <x v="0"/>
    <x v="14"/>
    <n v="4"/>
    <n v="142.08000000000001"/>
    <n v="0.15"/>
    <n v="88.65"/>
    <x v="136"/>
    <n v="213.72000000000003"/>
    <x v="1"/>
    <s v="HIGH"/>
    <n v="3"/>
    <n v="120000"/>
    <n v="120000"/>
    <n v="228"/>
    <n v="494986.38050000009"/>
  </r>
  <r>
    <x v="137"/>
    <x v="120"/>
    <x v="18"/>
    <x v="1"/>
    <x v="17"/>
    <x v="4"/>
    <x v="2"/>
    <x v="3"/>
    <x v="19"/>
    <n v="14"/>
    <n v="31.96"/>
    <n v="0.2"/>
    <n v="25.15"/>
    <x v="137"/>
    <n v="95.340000000000032"/>
    <x v="1"/>
    <s v="HIGH"/>
    <n v="0"/>
    <n v="160000"/>
    <n v="160000"/>
    <n v="257"/>
    <n v="495425.38050000009"/>
  </r>
  <r>
    <x v="138"/>
    <x v="121"/>
    <x v="23"/>
    <x v="0"/>
    <x v="14"/>
    <x v="1"/>
    <x v="6"/>
    <x v="2"/>
    <x v="3"/>
    <n v="5"/>
    <n v="109.75"/>
    <n v="0.2"/>
    <n v="78.06"/>
    <x v="138"/>
    <n v="158.44999999999999"/>
    <x v="0"/>
    <s v="HIGH"/>
    <n v="6"/>
    <n v="130000"/>
    <n v="130000"/>
    <n v="237"/>
    <n v="507947.30550000007"/>
  </r>
  <r>
    <x v="139"/>
    <x v="122"/>
    <x v="121"/>
    <x v="2"/>
    <x v="8"/>
    <x v="1"/>
    <x v="2"/>
    <x v="0"/>
    <x v="20"/>
    <n v="15"/>
    <n v="927.55"/>
    <n v="0.1"/>
    <n v="542.08000000000004"/>
    <x v="139"/>
    <n v="5782.0499999999984"/>
    <x v="1"/>
    <s v="NONE"/>
    <n v="3"/>
    <n v="130000"/>
    <n v="130000"/>
    <n v="30"/>
    <n v="508202.96850000008"/>
  </r>
  <r>
    <x v="140"/>
    <x v="123"/>
    <x v="122"/>
    <x v="2"/>
    <x v="11"/>
    <x v="3"/>
    <x v="4"/>
    <x v="1"/>
    <x v="4"/>
    <n v="17"/>
    <n v="16.71"/>
    <n v="0.1"/>
    <n v="9.68"/>
    <x v="140"/>
    <n v="119.51000000000002"/>
    <x v="0"/>
    <s v="NONE"/>
    <n v="3"/>
    <n v="150000"/>
    <n v="150000"/>
    <n v="289"/>
    <n v="508312.10850000009"/>
  </r>
  <r>
    <x v="141"/>
    <x v="124"/>
    <x v="123"/>
    <x v="0"/>
    <x v="12"/>
    <x v="1"/>
    <x v="4"/>
    <x v="1"/>
    <x v="8"/>
    <n v="15"/>
    <n v="8.56"/>
    <n v="0.15"/>
    <n v="5.66"/>
    <x v="141"/>
    <n v="43.500000000000007"/>
    <x v="0"/>
    <s v="HIGH"/>
    <n v="4"/>
    <n v="130000"/>
    <n v="130000"/>
    <n v="354"/>
    <n v="508460.26350000012"/>
  </r>
  <r>
    <x v="142"/>
    <x v="125"/>
    <x v="124"/>
    <x v="2"/>
    <x v="16"/>
    <x v="2"/>
    <x v="3"/>
    <x v="1"/>
    <x v="1"/>
    <n v="6"/>
    <n v="29.05"/>
    <n v="0.15"/>
    <n v="20.61"/>
    <x v="142"/>
    <n v="50.640000000000008"/>
    <x v="0"/>
    <s v="HIGH"/>
    <n v="2"/>
    <n v="120000"/>
    <n v="120000"/>
    <n v="335"/>
    <n v="516727.94250000012"/>
  </r>
  <r>
    <x v="143"/>
    <x v="36"/>
    <x v="37"/>
    <x v="2"/>
    <x v="6"/>
    <x v="1"/>
    <x v="1"/>
    <x v="2"/>
    <x v="6"/>
    <n v="18"/>
    <n v="483.49"/>
    <n v="0.05"/>
    <n v="363.06"/>
    <x v="143"/>
    <n v="2167.7400000000002"/>
    <x v="1"/>
    <s v="NONE"/>
    <n v="2"/>
    <n v="130000"/>
    <n v="130000"/>
    <n v="58"/>
    <n v="516819.14250000013"/>
  </r>
  <r>
    <x v="144"/>
    <x v="126"/>
    <x v="125"/>
    <x v="2"/>
    <x v="7"/>
    <x v="4"/>
    <x v="7"/>
    <x v="1"/>
    <x v="8"/>
    <n v="19"/>
    <n v="4.8"/>
    <n v="0"/>
    <n v="3.41"/>
    <x v="144"/>
    <n v="26.409999999999993"/>
    <x v="0"/>
    <s v="NONE"/>
    <n v="3"/>
    <n v="160000"/>
    <n v="160000"/>
    <n v="365"/>
    <n v="517055.5745000001"/>
  </r>
  <r>
    <x v="145"/>
    <x v="127"/>
    <x v="102"/>
    <x v="0"/>
    <x v="13"/>
    <x v="2"/>
    <x v="4"/>
    <x v="1"/>
    <x v="4"/>
    <n v="14"/>
    <n v="21.11"/>
    <n v="0.2"/>
    <n v="11.9"/>
    <x v="145"/>
    <n v="128.94"/>
    <x v="0"/>
    <s v="HIGH"/>
    <n v="4"/>
    <n v="120000"/>
    <n v="120000"/>
    <n v="297"/>
    <n v="523915.47450000013"/>
  </r>
  <r>
    <x v="146"/>
    <x v="128"/>
    <x v="126"/>
    <x v="1"/>
    <x v="0"/>
    <x v="0"/>
    <x v="2"/>
    <x v="2"/>
    <x v="6"/>
    <n v="10"/>
    <n v="685.99"/>
    <n v="0"/>
    <n v="410.96"/>
    <x v="146"/>
    <n v="2750.3"/>
    <x v="0"/>
    <s v="NONE"/>
    <n v="0"/>
    <n v="140000"/>
    <n v="140000"/>
    <n v="75"/>
    <n v="524042.41350000014"/>
  </r>
  <r>
    <x v="147"/>
    <x v="129"/>
    <x v="127"/>
    <x v="1"/>
    <x v="3"/>
    <x v="2"/>
    <x v="4"/>
    <x v="1"/>
    <x v="18"/>
    <n v="19"/>
    <n v="7.86"/>
    <n v="0.15"/>
    <n v="5.55"/>
    <x v="147"/>
    <n v="43.890000000000008"/>
    <x v="1"/>
    <s v="HIGH"/>
    <n v="0"/>
    <n v="120000"/>
    <n v="120000"/>
    <n v="345"/>
    <n v="534693.89350000012"/>
  </r>
  <r>
    <x v="148"/>
    <x v="130"/>
    <x v="128"/>
    <x v="1"/>
    <x v="2"/>
    <x v="2"/>
    <x v="0"/>
    <x v="0"/>
    <x v="0"/>
    <n v="14"/>
    <n v="760.82"/>
    <n v="0"/>
    <n v="513.17999999999995"/>
    <x v="148"/>
    <n v="3466.9600000000014"/>
    <x v="0"/>
    <s v="NONE"/>
    <n v="0"/>
    <n v="120000"/>
    <n v="120000"/>
    <n v="41"/>
    <n v="535030.15550000011"/>
  </r>
  <r>
    <x v="149"/>
    <x v="131"/>
    <x v="129"/>
    <x v="1"/>
    <x v="8"/>
    <x v="0"/>
    <x v="5"/>
    <x v="2"/>
    <x v="15"/>
    <n v="2"/>
    <n v="176.98"/>
    <n v="0.05"/>
    <n v="118.76"/>
    <x v="149"/>
    <n v="116.43999999999997"/>
    <x v="0"/>
    <s v="NONE"/>
    <n v="0"/>
    <n v="140000"/>
    <n v="140000"/>
    <n v="263"/>
    <n v="542549.65550000011"/>
  </r>
  <r>
    <x v="150"/>
    <x v="132"/>
    <x v="130"/>
    <x v="0"/>
    <x v="18"/>
    <x v="0"/>
    <x v="7"/>
    <x v="2"/>
    <x v="16"/>
    <n v="25"/>
    <n v="334.2"/>
    <n v="0.1"/>
    <n v="192.68"/>
    <x v="150"/>
    <n v="3537.9999999999995"/>
    <x v="1"/>
    <s v="NONE"/>
    <n v="5"/>
    <n v="140000"/>
    <n v="140000"/>
    <n v="64"/>
    <n v="542853.0155000001"/>
  </r>
  <r>
    <x v="151"/>
    <x v="133"/>
    <x v="131"/>
    <x v="0"/>
    <x v="5"/>
    <x v="1"/>
    <x v="5"/>
    <x v="1"/>
    <x v="8"/>
    <n v="10"/>
    <n v="37.92"/>
    <n v="0.2"/>
    <n v="26.69"/>
    <x v="151"/>
    <n v="112.30000000000001"/>
    <x v="0"/>
    <s v="HIGH"/>
    <n v="5"/>
    <n v="130000"/>
    <n v="130000"/>
    <n v="274"/>
    <n v="543062.0155000001"/>
  </r>
  <r>
    <x v="152"/>
    <x v="134"/>
    <x v="132"/>
    <x v="2"/>
    <x v="6"/>
    <x v="1"/>
    <x v="6"/>
    <x v="1"/>
    <x v="4"/>
    <n v="10"/>
    <n v="20.9"/>
    <n v="0"/>
    <n v="16.43"/>
    <x v="152"/>
    <n v="44.699999999999989"/>
    <x v="1"/>
    <s v="NONE"/>
    <n v="2"/>
    <n v="130000"/>
    <n v="130000"/>
    <n v="308"/>
    <n v="543640.77550000011"/>
  </r>
  <r>
    <x v="153"/>
    <x v="135"/>
    <x v="133"/>
    <x v="1"/>
    <x v="19"/>
    <x v="3"/>
    <x v="6"/>
    <x v="1"/>
    <x v="1"/>
    <n v="21"/>
    <n v="27.56"/>
    <n v="0"/>
    <n v="18.86"/>
    <x v="153"/>
    <n v="182.7"/>
    <x v="1"/>
    <s v="NONE"/>
    <n v="0"/>
    <n v="150000"/>
    <n v="150000"/>
    <n v="218"/>
    <n v="543688.11550000007"/>
  </r>
  <r>
    <x v="154"/>
    <x v="23"/>
    <x v="134"/>
    <x v="2"/>
    <x v="18"/>
    <x v="4"/>
    <x v="1"/>
    <x v="1"/>
    <x v="2"/>
    <n v="2"/>
    <n v="23.67"/>
    <n v="0"/>
    <n v="15.16"/>
    <x v="154"/>
    <n v="17.020000000000003"/>
    <x v="0"/>
    <s v="NONE"/>
    <n v="2"/>
    <n v="160000"/>
    <n v="160000"/>
    <n v="383"/>
    <n v="543820.94750000013"/>
  </r>
  <r>
    <x v="155"/>
    <x v="136"/>
    <x v="135"/>
    <x v="0"/>
    <x v="14"/>
    <x v="0"/>
    <x v="5"/>
    <x v="3"/>
    <x v="7"/>
    <n v="4"/>
    <n v="41.51"/>
    <n v="0.2"/>
    <n v="33.07"/>
    <x v="155"/>
    <n v="33.759999999999991"/>
    <x v="1"/>
    <s v="HIGH"/>
    <n v="6"/>
    <n v="140000"/>
    <n v="140000"/>
    <n v="342"/>
    <n v="544621.53150000016"/>
  </r>
  <r>
    <x v="156"/>
    <x v="45"/>
    <x v="136"/>
    <x v="0"/>
    <x v="17"/>
    <x v="3"/>
    <x v="1"/>
    <x v="3"/>
    <x v="7"/>
    <n v="23"/>
    <n v="36.64"/>
    <n v="0.05"/>
    <n v="24.91"/>
    <x v="156"/>
    <n v="269.79000000000002"/>
    <x v="1"/>
    <s v="NONE"/>
    <n v="5"/>
    <n v="150000"/>
    <n v="150000"/>
    <n v="187"/>
    <n v="544832.20350000018"/>
  </r>
  <r>
    <x v="157"/>
    <x v="134"/>
    <x v="137"/>
    <x v="1"/>
    <x v="14"/>
    <x v="4"/>
    <x v="3"/>
    <x v="1"/>
    <x v="4"/>
    <n v="11"/>
    <n v="21.28"/>
    <n v="0.1"/>
    <n v="14.54"/>
    <x v="157"/>
    <n v="74.140000000000015"/>
    <x v="0"/>
    <s v="NONE"/>
    <n v="0"/>
    <n v="160000"/>
    <n v="160000"/>
    <n v="306"/>
    <n v="545368.54050000024"/>
  </r>
  <r>
    <x v="158"/>
    <x v="137"/>
    <x v="138"/>
    <x v="1"/>
    <x v="1"/>
    <x v="3"/>
    <x v="3"/>
    <x v="1"/>
    <x v="2"/>
    <n v="23"/>
    <n v="25.91"/>
    <n v="0.1"/>
    <n v="17.32"/>
    <x v="158"/>
    <n v="197.57"/>
    <x v="0"/>
    <s v="NONE"/>
    <n v="0"/>
    <n v="150000"/>
    <n v="150000"/>
    <n v="219"/>
    <n v="545950.26450000028"/>
  </r>
  <r>
    <x v="159"/>
    <x v="138"/>
    <x v="139"/>
    <x v="0"/>
    <x v="14"/>
    <x v="2"/>
    <x v="7"/>
    <x v="3"/>
    <x v="10"/>
    <n v="22"/>
    <n v="29.38"/>
    <n v="0.1"/>
    <n v="23.12"/>
    <x v="159"/>
    <n v="137.71999999999997"/>
    <x v="0"/>
    <s v="NONE"/>
    <n v="4"/>
    <n v="120000"/>
    <n v="120000"/>
    <n v="217"/>
    <n v="546190.11250000028"/>
  </r>
  <r>
    <x v="160"/>
    <x v="139"/>
    <x v="84"/>
    <x v="1"/>
    <x v="5"/>
    <x v="4"/>
    <x v="7"/>
    <x v="3"/>
    <x v="19"/>
    <n v="7"/>
    <n v="42.83"/>
    <n v="0.2"/>
    <n v="30.1"/>
    <x v="160"/>
    <n v="89.109999999999985"/>
    <x v="0"/>
    <s v="HIGH"/>
    <n v="0"/>
    <n v="160000"/>
    <n v="160000"/>
    <n v="296"/>
    <n v="553371.71250000026"/>
  </r>
  <r>
    <x v="161"/>
    <x v="140"/>
    <x v="140"/>
    <x v="1"/>
    <x v="16"/>
    <x v="1"/>
    <x v="2"/>
    <x v="2"/>
    <x v="9"/>
    <n v="16"/>
    <n v="448.85"/>
    <n v="0"/>
    <n v="354.22"/>
    <x v="161"/>
    <n v="1514.08"/>
    <x v="1"/>
    <s v="NONE"/>
    <n v="0"/>
    <n v="130000"/>
    <n v="130000"/>
    <n v="68"/>
    <n v="553580.60250000027"/>
  </r>
  <r>
    <x v="162"/>
    <x v="141"/>
    <x v="141"/>
    <x v="0"/>
    <x v="6"/>
    <x v="2"/>
    <x v="0"/>
    <x v="1"/>
    <x v="2"/>
    <n v="9"/>
    <n v="23.21"/>
    <n v="0"/>
    <n v="18.23"/>
    <x v="162"/>
    <n v="44.820000000000007"/>
    <x v="0"/>
    <s v="NONE"/>
    <n v="6"/>
    <n v="120000"/>
    <n v="120000"/>
    <n v="309"/>
    <n v="559877.24250000028"/>
  </r>
  <r>
    <x v="163"/>
    <x v="142"/>
    <x v="142"/>
    <x v="1"/>
    <x v="6"/>
    <x v="0"/>
    <x v="2"/>
    <x v="2"/>
    <x v="15"/>
    <n v="24"/>
    <n v="262.36"/>
    <n v="0"/>
    <n v="181.91"/>
    <x v="163"/>
    <n v="1930.8000000000004"/>
    <x v="1"/>
    <s v="NONE"/>
    <n v="0"/>
    <n v="140000"/>
    <n v="140000"/>
    <n v="82"/>
    <n v="566831.34750000027"/>
  </r>
  <r>
    <x v="164"/>
    <x v="96"/>
    <x v="143"/>
    <x v="2"/>
    <x v="19"/>
    <x v="3"/>
    <x v="5"/>
    <x v="2"/>
    <x v="16"/>
    <n v="15"/>
    <n v="545.41999999999996"/>
    <n v="0.15"/>
    <n v="365.31"/>
    <x v="164"/>
    <n v="2701.6499999999992"/>
    <x v="0"/>
    <s v="HIGH"/>
    <n v="3"/>
    <n v="150000"/>
    <n v="150000"/>
    <n v="73"/>
    <n v="566880.7575000003"/>
  </r>
  <r>
    <x v="165"/>
    <x v="143"/>
    <x v="144"/>
    <x v="0"/>
    <x v="14"/>
    <x v="3"/>
    <x v="0"/>
    <x v="1"/>
    <x v="4"/>
    <n v="2"/>
    <n v="27.45"/>
    <n v="0.1"/>
    <n v="16.649999999999999"/>
    <x v="165"/>
    <n v="21.6"/>
    <x v="0"/>
    <s v="NONE"/>
    <n v="5"/>
    <n v="150000"/>
    <n v="150000"/>
    <n v="381"/>
    <n v="568468.89750000031"/>
  </r>
  <r>
    <x v="166"/>
    <x v="71"/>
    <x v="145"/>
    <x v="0"/>
    <x v="12"/>
    <x v="4"/>
    <x v="4"/>
    <x v="3"/>
    <x v="19"/>
    <n v="18"/>
    <n v="88.23"/>
    <n v="0"/>
    <n v="57.5"/>
    <x v="166"/>
    <n v="553.1400000000001"/>
    <x v="1"/>
    <s v="NONE"/>
    <n v="7"/>
    <n v="160000"/>
    <n v="160000"/>
    <n v="144"/>
    <n v="577632.75150000036"/>
  </r>
  <r>
    <x v="167"/>
    <x v="144"/>
    <x v="146"/>
    <x v="0"/>
    <x v="19"/>
    <x v="0"/>
    <x v="1"/>
    <x v="2"/>
    <x v="16"/>
    <n v="21"/>
    <n v="484.86"/>
    <n v="0.1"/>
    <n v="356.21"/>
    <x v="167"/>
    <n v="2701.6500000000005"/>
    <x v="0"/>
    <s v="NONE"/>
    <n v="4"/>
    <n v="140000"/>
    <n v="140000"/>
    <n v="48"/>
    <n v="584720.65150000039"/>
  </r>
  <r>
    <x v="168"/>
    <x v="145"/>
    <x v="66"/>
    <x v="1"/>
    <x v="6"/>
    <x v="4"/>
    <x v="4"/>
    <x v="2"/>
    <x v="3"/>
    <n v="10"/>
    <n v="708.79"/>
    <n v="0"/>
    <n v="442.71"/>
    <x v="168"/>
    <n v="2660.7999999999997"/>
    <x v="0"/>
    <s v="NONE"/>
    <n v="0"/>
    <n v="160000"/>
    <n v="160000"/>
    <n v="71"/>
    <n v="585102.61150000035"/>
  </r>
  <r>
    <x v="169"/>
    <x v="146"/>
    <x v="147"/>
    <x v="1"/>
    <x v="6"/>
    <x v="2"/>
    <x v="4"/>
    <x v="3"/>
    <x v="7"/>
    <n v="15"/>
    <n v="31.83"/>
    <n v="0.2"/>
    <n v="18.399999999999999"/>
    <x v="169"/>
    <n v="201.45"/>
    <x v="1"/>
    <s v="HIGH"/>
    <n v="0"/>
    <n v="120000"/>
    <n v="120000"/>
    <n v="250"/>
    <n v="585779.77150000038"/>
  </r>
  <r>
    <x v="170"/>
    <x v="147"/>
    <x v="148"/>
    <x v="1"/>
    <x v="15"/>
    <x v="3"/>
    <x v="3"/>
    <x v="1"/>
    <x v="4"/>
    <n v="22"/>
    <n v="30.78"/>
    <n v="0"/>
    <n v="21.63"/>
    <x v="170"/>
    <n v="201.30000000000004"/>
    <x v="0"/>
    <s v="NONE"/>
    <n v="0"/>
    <n v="150000"/>
    <n v="150000"/>
    <n v="205"/>
    <n v="586008.57150000043"/>
  </r>
  <r>
    <x v="171"/>
    <x v="118"/>
    <x v="149"/>
    <x v="0"/>
    <x v="12"/>
    <x v="4"/>
    <x v="4"/>
    <x v="1"/>
    <x v="1"/>
    <n v="16"/>
    <n v="14.3"/>
    <n v="0"/>
    <n v="7.89"/>
    <x v="171"/>
    <n v="102.56000000000002"/>
    <x v="0"/>
    <s v="NONE"/>
    <n v="7"/>
    <n v="160000"/>
    <n v="160000"/>
    <n v="299"/>
    <n v="586337.43150000041"/>
  </r>
  <r>
    <x v="172"/>
    <x v="69"/>
    <x v="17"/>
    <x v="2"/>
    <x v="13"/>
    <x v="0"/>
    <x v="1"/>
    <x v="1"/>
    <x v="2"/>
    <n v="21"/>
    <n v="15.66"/>
    <n v="0"/>
    <n v="8.86"/>
    <x v="172"/>
    <n v="142.80000000000001"/>
    <x v="0"/>
    <s v="NONE"/>
    <n v="3"/>
    <n v="140000"/>
    <n v="140000"/>
    <n v="264"/>
    <n v="589657.23150000046"/>
  </r>
  <r>
    <x v="173"/>
    <x v="148"/>
    <x v="150"/>
    <x v="1"/>
    <x v="19"/>
    <x v="2"/>
    <x v="5"/>
    <x v="2"/>
    <x v="15"/>
    <n v="10"/>
    <n v="331.98"/>
    <n v="0"/>
    <n v="200.78"/>
    <x v="173"/>
    <n v="1312.0000000000002"/>
    <x v="0"/>
    <s v="NONE"/>
    <n v="0"/>
    <n v="120000"/>
    <n v="120000"/>
    <n v="119"/>
    <n v="590995.71150000044"/>
  </r>
  <r>
    <x v="174"/>
    <x v="149"/>
    <x v="151"/>
    <x v="1"/>
    <x v="1"/>
    <x v="0"/>
    <x v="6"/>
    <x v="3"/>
    <x v="7"/>
    <n v="22"/>
    <n v="76.05"/>
    <n v="0.2"/>
    <n v="46.53"/>
    <x v="174"/>
    <n v="649.43999999999994"/>
    <x v="1"/>
    <s v="HIGH"/>
    <n v="0"/>
    <n v="140000"/>
    <n v="140000"/>
    <n v="157"/>
    <n v="591143.81550000049"/>
  </r>
  <r>
    <x v="175"/>
    <x v="150"/>
    <x v="152"/>
    <x v="1"/>
    <x v="12"/>
    <x v="2"/>
    <x v="1"/>
    <x v="1"/>
    <x v="1"/>
    <n v="17"/>
    <n v="9.68"/>
    <n v="0.1"/>
    <n v="5.69"/>
    <x v="175"/>
    <n v="67.829999999999984"/>
    <x v="0"/>
    <s v="NONE"/>
    <n v="0"/>
    <n v="120000"/>
    <n v="120000"/>
    <n v="336"/>
    <n v="593390.18550000049"/>
  </r>
  <r>
    <x v="176"/>
    <x v="81"/>
    <x v="153"/>
    <x v="0"/>
    <x v="3"/>
    <x v="4"/>
    <x v="6"/>
    <x v="2"/>
    <x v="9"/>
    <n v="15"/>
    <n v="157.63999999999999"/>
    <n v="0.05"/>
    <n v="104.7"/>
    <x v="176"/>
    <n v="794.0999999999998"/>
    <x v="0"/>
    <s v="NONE"/>
    <n v="4"/>
    <n v="160000"/>
    <n v="160000"/>
    <n v="134"/>
    <n v="593558.04550000047"/>
  </r>
  <r>
    <x v="177"/>
    <x v="151"/>
    <x v="82"/>
    <x v="1"/>
    <x v="2"/>
    <x v="4"/>
    <x v="1"/>
    <x v="1"/>
    <x v="1"/>
    <n v="7"/>
    <n v="23.98"/>
    <n v="0"/>
    <n v="15.73"/>
    <x v="177"/>
    <n v="57.75"/>
    <x v="0"/>
    <s v="NONE"/>
    <n v="0"/>
    <n v="160000"/>
    <n v="160000"/>
    <n v="325"/>
    <n v="594861.09550000052"/>
  </r>
  <r>
    <x v="178"/>
    <x v="152"/>
    <x v="154"/>
    <x v="0"/>
    <x v="1"/>
    <x v="0"/>
    <x v="4"/>
    <x v="3"/>
    <x v="11"/>
    <n v="25"/>
    <n v="61.32"/>
    <n v="0.15"/>
    <n v="43.63"/>
    <x v="178"/>
    <n v="442.24999999999994"/>
    <x v="1"/>
    <s v="HIGH"/>
    <n v="7"/>
    <n v="140000"/>
    <n v="140000"/>
    <n v="159"/>
    <n v="595071.58750000049"/>
  </r>
  <r>
    <x v="179"/>
    <x v="153"/>
    <x v="155"/>
    <x v="1"/>
    <x v="3"/>
    <x v="4"/>
    <x v="4"/>
    <x v="3"/>
    <x v="5"/>
    <n v="12"/>
    <n v="19.489999999999998"/>
    <n v="0.1"/>
    <n v="12.63"/>
    <x v="179"/>
    <n v="82.319999999999965"/>
    <x v="0"/>
    <s v="NONE"/>
    <n v="0"/>
    <n v="160000"/>
    <n v="160000"/>
    <n v="307"/>
    <n v="608030.76750000054"/>
  </r>
  <r>
    <x v="180"/>
    <x v="154"/>
    <x v="156"/>
    <x v="1"/>
    <x v="16"/>
    <x v="4"/>
    <x v="7"/>
    <x v="0"/>
    <x v="13"/>
    <n v="13"/>
    <n v="996.86"/>
    <n v="0"/>
    <n v="663.07"/>
    <x v="180"/>
    <n v="4339.2699999999995"/>
    <x v="0"/>
    <s v="NONE"/>
    <n v="0"/>
    <n v="160000"/>
    <n v="160000"/>
    <n v="26"/>
    <n v="608833.26150000049"/>
  </r>
  <r>
    <x v="181"/>
    <x v="155"/>
    <x v="157"/>
    <x v="0"/>
    <x v="14"/>
    <x v="4"/>
    <x v="1"/>
    <x v="0"/>
    <x v="0"/>
    <n v="7"/>
    <n v="127.38"/>
    <n v="0.1"/>
    <n v="71.13"/>
    <x v="181"/>
    <n v="393.75"/>
    <x v="0"/>
    <s v="NONE"/>
    <n v="4"/>
    <n v="160000"/>
    <n v="160000"/>
    <n v="186"/>
    <n v="609084.81150000053"/>
  </r>
  <r>
    <x v="182"/>
    <x v="156"/>
    <x v="158"/>
    <x v="0"/>
    <x v="16"/>
    <x v="1"/>
    <x v="0"/>
    <x v="3"/>
    <x v="5"/>
    <n v="5"/>
    <n v="50.31"/>
    <n v="0"/>
    <n v="30.62"/>
    <x v="182"/>
    <n v="98.45"/>
    <x v="1"/>
    <s v="NONE"/>
    <n v="6"/>
    <n v="130000"/>
    <n v="130000"/>
    <n v="291"/>
    <n v="609119.8035000005"/>
  </r>
  <r>
    <x v="183"/>
    <x v="27"/>
    <x v="159"/>
    <x v="2"/>
    <x v="0"/>
    <x v="2"/>
    <x v="7"/>
    <x v="1"/>
    <x v="4"/>
    <n v="9"/>
    <n v="4.32"/>
    <n v="0.1"/>
    <n v="3.33"/>
    <x v="183"/>
    <n v="8.9100000000000019"/>
    <x v="1"/>
    <s v="NONE"/>
    <n v="3"/>
    <n v="120000"/>
    <n v="120000"/>
    <n v="389"/>
    <n v="609717.04350000049"/>
  </r>
  <r>
    <x v="184"/>
    <x v="157"/>
    <x v="160"/>
    <x v="1"/>
    <x v="4"/>
    <x v="0"/>
    <x v="2"/>
    <x v="3"/>
    <x v="11"/>
    <n v="14"/>
    <n v="42.66"/>
    <n v="0"/>
    <n v="27.48"/>
    <x v="184"/>
    <n v="212.51999999999995"/>
    <x v="1"/>
    <s v="NONE"/>
    <n v="0"/>
    <n v="140000"/>
    <n v="140000"/>
    <n v="216"/>
    <n v="610095.63750000054"/>
  </r>
  <r>
    <x v="185"/>
    <x v="158"/>
    <x v="161"/>
    <x v="2"/>
    <x v="17"/>
    <x v="4"/>
    <x v="7"/>
    <x v="1"/>
    <x v="4"/>
    <n v="18"/>
    <n v="22.14"/>
    <n v="0.05"/>
    <n v="13.52"/>
    <x v="185"/>
    <n v="155.16000000000003"/>
    <x v="0"/>
    <s v="NONE"/>
    <n v="3"/>
    <n v="160000"/>
    <n v="160000"/>
    <n v="254"/>
    <n v="614013.93150000053"/>
  </r>
  <r>
    <x v="186"/>
    <x v="159"/>
    <x v="162"/>
    <x v="0"/>
    <x v="3"/>
    <x v="0"/>
    <x v="0"/>
    <x v="0"/>
    <x v="14"/>
    <n v="9"/>
    <n v="483.74"/>
    <n v="0.1"/>
    <n v="338.97"/>
    <x v="186"/>
    <n v="1302.9299999999998"/>
    <x v="0"/>
    <s v="NONE"/>
    <n v="4"/>
    <n v="140000"/>
    <n v="140000"/>
    <n v="107"/>
    <n v="618497.25650000048"/>
  </r>
  <r>
    <x v="187"/>
    <x v="160"/>
    <x v="163"/>
    <x v="0"/>
    <x v="15"/>
    <x v="1"/>
    <x v="3"/>
    <x v="2"/>
    <x v="15"/>
    <n v="7"/>
    <n v="753.5"/>
    <n v="0.15"/>
    <n v="436.52"/>
    <x v="187"/>
    <n v="2218.86"/>
    <x v="1"/>
    <s v="HIGH"/>
    <n v="7"/>
    <n v="130000"/>
    <n v="130000"/>
    <n v="102"/>
    <n v="622972.83800000045"/>
  </r>
  <r>
    <x v="188"/>
    <x v="161"/>
    <x v="164"/>
    <x v="2"/>
    <x v="16"/>
    <x v="1"/>
    <x v="2"/>
    <x v="2"/>
    <x v="15"/>
    <n v="13"/>
    <n v="405.03"/>
    <n v="0.15"/>
    <n v="259.14"/>
    <x v="188"/>
    <n v="1896.5699999999997"/>
    <x v="1"/>
    <s v="HIGH"/>
    <n v="3"/>
    <n v="130000"/>
    <n v="130000"/>
    <n v="103"/>
    <n v="623393.19800000044"/>
  </r>
  <r>
    <x v="189"/>
    <x v="162"/>
    <x v="165"/>
    <x v="0"/>
    <x v="6"/>
    <x v="3"/>
    <x v="2"/>
    <x v="3"/>
    <x v="5"/>
    <n v="12"/>
    <n v="35.03"/>
    <n v="0"/>
    <n v="24.19"/>
    <x v="189"/>
    <n v="130.07999999999998"/>
    <x v="0"/>
    <s v="NONE"/>
    <n v="5"/>
    <n v="150000"/>
    <n v="150000"/>
    <n v="241"/>
    <n v="623440.49800000049"/>
  </r>
  <r>
    <x v="190"/>
    <x v="163"/>
    <x v="84"/>
    <x v="2"/>
    <x v="13"/>
    <x v="2"/>
    <x v="7"/>
    <x v="1"/>
    <x v="18"/>
    <n v="5"/>
    <n v="9.4600000000000009"/>
    <n v="0"/>
    <n v="6.1"/>
    <x v="190"/>
    <n v="16.800000000000004"/>
    <x v="0"/>
    <s v="NONE"/>
    <n v="3"/>
    <n v="120000"/>
    <n v="120000"/>
    <n v="384"/>
    <n v="624213.53800000052"/>
  </r>
  <r>
    <x v="191"/>
    <x v="164"/>
    <x v="166"/>
    <x v="0"/>
    <x v="6"/>
    <x v="4"/>
    <x v="6"/>
    <x v="1"/>
    <x v="2"/>
    <n v="24"/>
    <n v="32.21"/>
    <n v="0"/>
    <n v="18.84"/>
    <x v="191"/>
    <n v="320.88"/>
    <x v="1"/>
    <s v="NONE"/>
    <n v="7"/>
    <n v="160000"/>
    <n v="160000"/>
    <n v="192"/>
    <n v="626690.16600000055"/>
  </r>
  <r>
    <x v="192"/>
    <x v="165"/>
    <x v="167"/>
    <x v="0"/>
    <x v="3"/>
    <x v="3"/>
    <x v="1"/>
    <x v="0"/>
    <x v="20"/>
    <n v="14"/>
    <n v="208.12"/>
    <n v="0.15"/>
    <n v="126.51"/>
    <x v="192"/>
    <n v="1142.54"/>
    <x v="0"/>
    <s v="HIGH"/>
    <n v="5"/>
    <n v="150000"/>
    <n v="150000"/>
    <n v="128"/>
    <n v="626852.31000000052"/>
  </r>
  <r>
    <x v="193"/>
    <x v="166"/>
    <x v="123"/>
    <x v="1"/>
    <x v="14"/>
    <x v="3"/>
    <x v="6"/>
    <x v="3"/>
    <x v="19"/>
    <n v="16"/>
    <n v="11.26"/>
    <n v="0.1"/>
    <n v="7.75"/>
    <x v="193"/>
    <n v="56.16"/>
    <x v="0"/>
    <s v="NONE"/>
    <n v="0"/>
    <n v="150000"/>
    <n v="150000"/>
    <n v="331"/>
    <n v="626985.11400000053"/>
  </r>
  <r>
    <x v="194"/>
    <x v="167"/>
    <x v="168"/>
    <x v="0"/>
    <x v="11"/>
    <x v="0"/>
    <x v="7"/>
    <x v="1"/>
    <x v="18"/>
    <n v="4"/>
    <n v="36.89"/>
    <n v="0.1"/>
    <n v="21.66"/>
    <x v="194"/>
    <n v="60.92"/>
    <x v="0"/>
    <s v="NONE"/>
    <n v="5"/>
    <n v="140000"/>
    <n v="140000"/>
    <n v="343"/>
    <n v="627166.64000000048"/>
  </r>
  <r>
    <x v="195"/>
    <x v="168"/>
    <x v="169"/>
    <x v="2"/>
    <x v="18"/>
    <x v="3"/>
    <x v="7"/>
    <x v="1"/>
    <x v="8"/>
    <n v="19"/>
    <n v="11.24"/>
    <n v="0.15"/>
    <n v="6.82"/>
    <x v="195"/>
    <n v="83.98"/>
    <x v="1"/>
    <s v="HIGH"/>
    <n v="2"/>
    <n v="150000"/>
    <n v="150000"/>
    <n v="324"/>
    <n v="627392.60000000044"/>
  </r>
  <r>
    <x v="196"/>
    <x v="169"/>
    <x v="70"/>
    <x v="0"/>
    <x v="16"/>
    <x v="4"/>
    <x v="6"/>
    <x v="3"/>
    <x v="5"/>
    <n v="21"/>
    <n v="10.76"/>
    <n v="0"/>
    <n v="6.14"/>
    <x v="196"/>
    <n v="97.02"/>
    <x v="0"/>
    <s v="NONE"/>
    <n v="7"/>
    <n v="160000"/>
    <n v="160000"/>
    <n v="300"/>
    <n v="638732.37000000046"/>
  </r>
  <r>
    <x v="197"/>
    <x v="170"/>
    <x v="170"/>
    <x v="1"/>
    <x v="0"/>
    <x v="3"/>
    <x v="0"/>
    <x v="0"/>
    <x v="20"/>
    <n v="19"/>
    <n v="596.83000000000004"/>
    <n v="0"/>
    <n v="466.15"/>
    <x v="197"/>
    <n v="2482.920000000001"/>
    <x v="0"/>
    <s v="NONE"/>
    <n v="0"/>
    <n v="150000"/>
    <n v="150000"/>
    <n v="37"/>
    <n v="639217.27000000048"/>
  </r>
  <r>
    <x v="198"/>
    <x v="171"/>
    <x v="171"/>
    <x v="1"/>
    <x v="13"/>
    <x v="1"/>
    <x v="4"/>
    <x v="1"/>
    <x v="1"/>
    <n v="13"/>
    <n v="37.299999999999997"/>
    <n v="0"/>
    <n v="22.03"/>
    <x v="198"/>
    <n v="198.50999999999993"/>
    <x v="0"/>
    <s v="NONE"/>
    <n v="0"/>
    <n v="130000"/>
    <n v="130000"/>
    <n v="227"/>
    <n v="639276.82200000051"/>
  </r>
  <r>
    <x v="199"/>
    <x v="172"/>
    <x v="102"/>
    <x v="0"/>
    <x v="3"/>
    <x v="1"/>
    <x v="2"/>
    <x v="1"/>
    <x v="8"/>
    <n v="4"/>
    <n v="18.61"/>
    <n v="0.2"/>
    <n v="10.59"/>
    <x v="199"/>
    <n v="32.08"/>
    <x v="0"/>
    <s v="HIGH"/>
    <n v="7"/>
    <n v="130000"/>
    <n v="130000"/>
    <n v="374"/>
    <n v="639480.25250000053"/>
  </r>
  <r>
    <x v="200"/>
    <x v="173"/>
    <x v="172"/>
    <x v="1"/>
    <x v="0"/>
    <x v="4"/>
    <x v="2"/>
    <x v="1"/>
    <x v="8"/>
    <n v="13"/>
    <n v="18.41"/>
    <n v="0.15"/>
    <n v="12.82"/>
    <x v="200"/>
    <n v="72.67"/>
    <x v="1"/>
    <s v="HIGH"/>
    <n v="0"/>
    <n v="160000"/>
    <n v="160000"/>
    <n v="312"/>
    <n v="639801.14450000052"/>
  </r>
  <r>
    <x v="201"/>
    <x v="174"/>
    <x v="127"/>
    <x v="0"/>
    <x v="3"/>
    <x v="3"/>
    <x v="3"/>
    <x v="1"/>
    <x v="4"/>
    <n v="13"/>
    <n v="29.04"/>
    <n v="0.15"/>
    <n v="17.09"/>
    <x v="201"/>
    <n v="155.35"/>
    <x v="0"/>
    <s v="HIGH"/>
    <n v="7"/>
    <n v="150000"/>
    <n v="150000"/>
    <n v="265"/>
    <n v="648806.89450000052"/>
  </r>
  <r>
    <x v="202"/>
    <x v="175"/>
    <x v="173"/>
    <x v="2"/>
    <x v="19"/>
    <x v="3"/>
    <x v="6"/>
    <x v="0"/>
    <x v="0"/>
    <n v="25"/>
    <n v="360.23"/>
    <n v="0"/>
    <n v="205.99"/>
    <x v="202"/>
    <n v="3856"/>
    <x v="0"/>
    <s v="NONE"/>
    <n v="3"/>
    <n v="150000"/>
    <n v="150000"/>
    <n v="49"/>
    <n v="648945.4945000005"/>
  </r>
  <r>
    <x v="203"/>
    <x v="176"/>
    <x v="166"/>
    <x v="1"/>
    <x v="3"/>
    <x v="3"/>
    <x v="2"/>
    <x v="3"/>
    <x v="11"/>
    <n v="3"/>
    <n v="57.75"/>
    <n v="0.2"/>
    <n v="36.450000000000003"/>
    <x v="203"/>
    <n v="63.899999999999991"/>
    <x v="0"/>
    <s v="HIGH"/>
    <n v="0"/>
    <n v="150000"/>
    <n v="150000"/>
    <n v="339"/>
    <n v="649326.15000000049"/>
  </r>
  <r>
    <x v="204"/>
    <x v="177"/>
    <x v="174"/>
    <x v="1"/>
    <x v="16"/>
    <x v="3"/>
    <x v="0"/>
    <x v="3"/>
    <x v="5"/>
    <n v="17"/>
    <n v="23.57"/>
    <n v="0.05"/>
    <n v="13.96"/>
    <x v="204"/>
    <n v="163.37"/>
    <x v="1"/>
    <s v="NONE"/>
    <n v="0"/>
    <n v="150000"/>
    <n v="150000"/>
    <n v="251"/>
    <n v="649706.72600000049"/>
  </r>
  <r>
    <x v="205"/>
    <x v="178"/>
    <x v="175"/>
    <x v="2"/>
    <x v="9"/>
    <x v="3"/>
    <x v="7"/>
    <x v="3"/>
    <x v="10"/>
    <n v="14"/>
    <n v="33.979999999999997"/>
    <n v="0.2"/>
    <n v="19.34"/>
    <x v="205"/>
    <n v="204.95999999999995"/>
    <x v="0"/>
    <s v="HIGH"/>
    <n v="2"/>
    <n v="150000"/>
    <n v="150000"/>
    <n v="252"/>
    <n v="649869.98350000044"/>
  </r>
  <r>
    <x v="206"/>
    <x v="129"/>
    <x v="115"/>
    <x v="0"/>
    <x v="10"/>
    <x v="2"/>
    <x v="6"/>
    <x v="3"/>
    <x v="7"/>
    <n v="5"/>
    <n v="34.369999999999997"/>
    <n v="0.05"/>
    <n v="21.76"/>
    <x v="206"/>
    <n v="63.049999999999983"/>
    <x v="0"/>
    <s v="NONE"/>
    <n v="7"/>
    <n v="120000"/>
    <n v="120000"/>
    <n v="329"/>
    <n v="650629.98350000044"/>
  </r>
  <r>
    <x v="207"/>
    <x v="179"/>
    <x v="55"/>
    <x v="2"/>
    <x v="5"/>
    <x v="2"/>
    <x v="3"/>
    <x v="1"/>
    <x v="8"/>
    <n v="20"/>
    <n v="38"/>
    <n v="0"/>
    <n v="25.45"/>
    <x v="207"/>
    <n v="251"/>
    <x v="1"/>
    <s v="NONE"/>
    <n v="3"/>
    <n v="120000"/>
    <n v="120000"/>
    <n v="195"/>
    <n v="650912.39000000048"/>
  </r>
  <r>
    <x v="208"/>
    <x v="180"/>
    <x v="176"/>
    <x v="2"/>
    <x v="0"/>
    <x v="2"/>
    <x v="2"/>
    <x v="1"/>
    <x v="8"/>
    <n v="9"/>
    <n v="33.03"/>
    <n v="0.05"/>
    <n v="21.18"/>
    <x v="208"/>
    <n v="106.65"/>
    <x v="0"/>
    <s v="NONE"/>
    <n v="2"/>
    <n v="120000"/>
    <n v="120000"/>
    <n v="282"/>
    <n v="653295.74200000043"/>
  </r>
  <r>
    <x v="209"/>
    <x v="181"/>
    <x v="177"/>
    <x v="2"/>
    <x v="10"/>
    <x v="4"/>
    <x v="6"/>
    <x v="0"/>
    <x v="17"/>
    <n v="23"/>
    <n v="129.53"/>
    <n v="0.2"/>
    <n v="97.01"/>
    <x v="209"/>
    <n v="747.95999999999992"/>
    <x v="1"/>
    <s v="HIGH"/>
    <n v="3"/>
    <n v="160000"/>
    <n v="160000"/>
    <n v="129"/>
    <n v="653347.20400000049"/>
  </r>
  <r>
    <x v="210"/>
    <x v="182"/>
    <x v="178"/>
    <x v="2"/>
    <x v="5"/>
    <x v="0"/>
    <x v="7"/>
    <x v="1"/>
    <x v="4"/>
    <n v="3"/>
    <n v="19.059999999999999"/>
    <n v="0.1"/>
    <n v="12.77"/>
    <x v="210"/>
    <n v="18.869999999999997"/>
    <x v="0"/>
    <s v="NONE"/>
    <n v="3"/>
    <n v="140000"/>
    <n v="140000"/>
    <n v="379"/>
    <n v="660475.94150000054"/>
  </r>
  <r>
    <x v="211"/>
    <x v="183"/>
    <x v="167"/>
    <x v="0"/>
    <x v="14"/>
    <x v="2"/>
    <x v="5"/>
    <x v="0"/>
    <x v="13"/>
    <n v="25"/>
    <n v="335.47"/>
    <n v="0.15"/>
    <n v="214.28"/>
    <x v="211"/>
    <n v="3029.7500000000005"/>
    <x v="1"/>
    <s v="HIGH"/>
    <n v="4"/>
    <n v="120000"/>
    <n v="120000"/>
    <n v="70"/>
    <n v="661543.11650000059"/>
  </r>
  <r>
    <x v="212"/>
    <x v="184"/>
    <x v="179"/>
    <x v="0"/>
    <x v="12"/>
    <x v="3"/>
    <x v="3"/>
    <x v="3"/>
    <x v="11"/>
    <n v="17"/>
    <n v="69.75"/>
    <n v="0.1"/>
    <n v="48.49"/>
    <x v="212"/>
    <n v="361.41999999999996"/>
    <x v="0"/>
    <s v="NONE"/>
    <n v="5"/>
    <n v="150000"/>
    <n v="150000"/>
    <n v="175"/>
    <n v="661591.73650000058"/>
  </r>
  <r>
    <x v="213"/>
    <x v="185"/>
    <x v="110"/>
    <x v="2"/>
    <x v="7"/>
    <x v="2"/>
    <x v="4"/>
    <x v="3"/>
    <x v="5"/>
    <n v="1"/>
    <n v="48.62"/>
    <n v="0"/>
    <n v="31.8"/>
    <x v="213"/>
    <n v="16.819999999999997"/>
    <x v="0"/>
    <s v="NONE"/>
    <n v="2"/>
    <n v="120000"/>
    <n v="120000"/>
    <n v="382"/>
    <n v="661835.57650000055"/>
  </r>
  <r>
    <x v="214"/>
    <x v="186"/>
    <x v="178"/>
    <x v="1"/>
    <x v="8"/>
    <x v="0"/>
    <x v="0"/>
    <x v="1"/>
    <x v="2"/>
    <n v="16"/>
    <n v="15.24"/>
    <n v="0"/>
    <n v="10.050000000000001"/>
    <x v="214"/>
    <n v="83.039999999999992"/>
    <x v="1"/>
    <s v="NONE"/>
    <n v="0"/>
    <n v="140000"/>
    <n v="140000"/>
    <n v="292"/>
    <n v="661946.49650000059"/>
  </r>
  <r>
    <x v="215"/>
    <x v="187"/>
    <x v="180"/>
    <x v="1"/>
    <x v="11"/>
    <x v="3"/>
    <x v="2"/>
    <x v="1"/>
    <x v="1"/>
    <n v="4"/>
    <n v="27.73"/>
    <n v="0"/>
    <n v="21.7"/>
    <x v="215"/>
    <n v="24.120000000000005"/>
    <x v="0"/>
    <s v="NONE"/>
    <n v="0"/>
    <n v="150000"/>
    <n v="150000"/>
    <n v="351"/>
    <n v="668784.7565000006"/>
  </r>
  <r>
    <x v="216"/>
    <x v="66"/>
    <x v="181"/>
    <x v="0"/>
    <x v="1"/>
    <x v="2"/>
    <x v="6"/>
    <x v="2"/>
    <x v="16"/>
    <n v="13"/>
    <n v="526.02"/>
    <n v="0"/>
    <n v="373.54"/>
    <x v="216"/>
    <n v="1982.2399999999996"/>
    <x v="1"/>
    <s v="NONE"/>
    <n v="7"/>
    <n v="120000"/>
    <n v="120000"/>
    <n v="76"/>
    <n v="673820.60650000058"/>
  </r>
  <r>
    <x v="217"/>
    <x v="130"/>
    <x v="182"/>
    <x v="0"/>
    <x v="1"/>
    <x v="2"/>
    <x v="7"/>
    <x v="2"/>
    <x v="15"/>
    <n v="23"/>
    <n v="218.95"/>
    <n v="0"/>
    <n v="161.6"/>
    <x v="217"/>
    <n v="1319.05"/>
    <x v="0"/>
    <s v="NONE"/>
    <n v="4"/>
    <n v="120000"/>
    <n v="120000"/>
    <n v="93"/>
    <n v="678577.14250000054"/>
  </r>
  <r>
    <x v="218"/>
    <x v="188"/>
    <x v="183"/>
    <x v="0"/>
    <x v="10"/>
    <x v="0"/>
    <x v="6"/>
    <x v="2"/>
    <x v="16"/>
    <n v="9"/>
    <n v="556.32000000000005"/>
    <n v="0.05"/>
    <n v="379.37"/>
    <x v="218"/>
    <n v="1592.5500000000004"/>
    <x v="0"/>
    <s v="NONE"/>
    <n v="6"/>
    <n v="140000"/>
    <n v="140000"/>
    <n v="96"/>
    <n v="678981.74250000052"/>
  </r>
  <r>
    <x v="219"/>
    <x v="189"/>
    <x v="184"/>
    <x v="2"/>
    <x v="18"/>
    <x v="3"/>
    <x v="2"/>
    <x v="3"/>
    <x v="7"/>
    <n v="20"/>
    <n v="23.8"/>
    <n v="0.15"/>
    <n v="17.29"/>
    <x v="219"/>
    <n v="130.20000000000005"/>
    <x v="1"/>
    <s v="HIGH"/>
    <n v="2"/>
    <n v="150000"/>
    <n v="150000"/>
    <n v="245"/>
    <n v="680999.24250000052"/>
  </r>
  <r>
    <x v="220"/>
    <x v="151"/>
    <x v="185"/>
    <x v="0"/>
    <x v="0"/>
    <x v="3"/>
    <x v="3"/>
    <x v="2"/>
    <x v="16"/>
    <n v="6"/>
    <n v="336.25"/>
    <n v="0"/>
    <n v="227.88"/>
    <x v="220"/>
    <n v="650.22"/>
    <x v="0"/>
    <s v="NONE"/>
    <n v="7"/>
    <n v="150000"/>
    <n v="150000"/>
    <n v="137"/>
    <n v="681294.26250000054"/>
  </r>
  <r>
    <x v="221"/>
    <x v="190"/>
    <x v="186"/>
    <x v="1"/>
    <x v="6"/>
    <x v="1"/>
    <x v="4"/>
    <x v="3"/>
    <x v="5"/>
    <n v="6"/>
    <n v="49.17"/>
    <n v="0"/>
    <n v="29.34"/>
    <x v="221"/>
    <n v="118.98000000000002"/>
    <x v="1"/>
    <s v="NONE"/>
    <n v="0"/>
    <n v="130000"/>
    <n v="130000"/>
    <n v="279"/>
    <n v="694230.89700000058"/>
  </r>
  <r>
    <x v="222"/>
    <x v="191"/>
    <x v="187"/>
    <x v="1"/>
    <x v="10"/>
    <x v="1"/>
    <x v="7"/>
    <x v="0"/>
    <x v="14"/>
    <n v="17"/>
    <n v="801.03"/>
    <n v="0.05"/>
    <n v="577.67999999999995"/>
    <x v="222"/>
    <n v="3796.9500000000003"/>
    <x v="1"/>
    <s v="NONE"/>
    <n v="0"/>
    <n v="130000"/>
    <n v="130000"/>
    <n v="28"/>
    <n v="694704.99900000053"/>
  </r>
  <r>
    <x v="223"/>
    <x v="192"/>
    <x v="188"/>
    <x v="2"/>
    <x v="11"/>
    <x v="2"/>
    <x v="0"/>
    <x v="2"/>
    <x v="3"/>
    <n v="2"/>
    <n v="263.39"/>
    <n v="0.1"/>
    <n v="163.87"/>
    <x v="223"/>
    <n v="199.03999999999996"/>
    <x v="0"/>
    <s v="NONE"/>
    <n v="3"/>
    <n v="120000"/>
    <n v="120000"/>
    <n v="230"/>
    <n v="696784.31150000053"/>
  </r>
  <r>
    <x v="224"/>
    <x v="65"/>
    <x v="189"/>
    <x v="1"/>
    <x v="2"/>
    <x v="3"/>
    <x v="2"/>
    <x v="0"/>
    <x v="20"/>
    <n v="25"/>
    <n v="97.85"/>
    <n v="0.15"/>
    <n v="64.61"/>
    <x v="224"/>
    <n v="830.99999999999989"/>
    <x v="1"/>
    <s v="HIGH"/>
    <n v="0"/>
    <n v="150000"/>
    <n v="150000"/>
    <n v="136"/>
    <n v="697939.04150000052"/>
  </r>
  <r>
    <x v="225"/>
    <x v="193"/>
    <x v="190"/>
    <x v="2"/>
    <x v="8"/>
    <x v="3"/>
    <x v="3"/>
    <x v="2"/>
    <x v="16"/>
    <n v="3"/>
    <n v="384.91"/>
    <n v="0"/>
    <n v="286.33999999999997"/>
    <x v="225"/>
    <n v="295.71000000000015"/>
    <x v="0"/>
    <s v="NONE"/>
    <n v="2"/>
    <n v="150000"/>
    <n v="150000"/>
    <n v="170"/>
    <n v="698144.48450000049"/>
  </r>
  <r>
    <x v="226"/>
    <x v="194"/>
    <x v="163"/>
    <x v="0"/>
    <x v="9"/>
    <x v="4"/>
    <x v="4"/>
    <x v="1"/>
    <x v="18"/>
    <n v="7"/>
    <n v="32.61"/>
    <n v="0.1"/>
    <n v="20.8"/>
    <x v="226"/>
    <n v="82.669999999999987"/>
    <x v="1"/>
    <s v="NONE"/>
    <n v="6"/>
    <n v="160000"/>
    <n v="160000"/>
    <n v="310"/>
    <n v="698940.98450000049"/>
  </r>
  <r>
    <x v="227"/>
    <x v="195"/>
    <x v="191"/>
    <x v="0"/>
    <x v="2"/>
    <x v="2"/>
    <x v="5"/>
    <x v="1"/>
    <x v="2"/>
    <n v="25"/>
    <n v="31.86"/>
    <n v="0"/>
    <n v="25.43"/>
    <x v="227"/>
    <n v="160.75"/>
    <x v="1"/>
    <s v="NONE"/>
    <n v="5"/>
    <n v="120000"/>
    <n v="120000"/>
    <n v="189"/>
    <n v="707467.86150000046"/>
  </r>
  <r>
    <x v="228"/>
    <x v="196"/>
    <x v="25"/>
    <x v="0"/>
    <x v="4"/>
    <x v="1"/>
    <x v="6"/>
    <x v="2"/>
    <x v="16"/>
    <n v="19"/>
    <n v="527.98"/>
    <n v="0.15"/>
    <n v="345.06"/>
    <x v="228"/>
    <n v="3475.4800000000005"/>
    <x v="0"/>
    <s v="HIGH"/>
    <n v="7"/>
    <n v="130000"/>
    <n v="130000"/>
    <n v="55"/>
    <n v="714289.94150000042"/>
  </r>
  <r>
    <x v="229"/>
    <x v="197"/>
    <x v="192"/>
    <x v="2"/>
    <x v="2"/>
    <x v="2"/>
    <x v="2"/>
    <x v="0"/>
    <x v="14"/>
    <n v="16"/>
    <n v="426.38"/>
    <n v="0"/>
    <n v="327.13"/>
    <x v="229"/>
    <n v="1588"/>
    <x v="0"/>
    <s v="NONE"/>
    <n v="3"/>
    <n v="120000"/>
    <n v="120000"/>
    <n v="77"/>
    <n v="714435.5415000004"/>
  </r>
  <r>
    <x v="230"/>
    <x v="198"/>
    <x v="193"/>
    <x v="2"/>
    <x v="4"/>
    <x v="2"/>
    <x v="0"/>
    <x v="1"/>
    <x v="1"/>
    <n v="7"/>
    <n v="20.8"/>
    <n v="0"/>
    <n v="15.75"/>
    <x v="230"/>
    <n v="35.350000000000009"/>
    <x v="0"/>
    <s v="NONE"/>
    <n v="2"/>
    <n v="120000"/>
    <n v="120000"/>
    <n v="337"/>
    <n v="714571.14150000038"/>
  </r>
  <r>
    <x v="231"/>
    <x v="170"/>
    <x v="170"/>
    <x v="1"/>
    <x v="17"/>
    <x v="3"/>
    <x v="5"/>
    <x v="3"/>
    <x v="19"/>
    <n v="15"/>
    <n v="11.3"/>
    <n v="0.2"/>
    <n v="6.66"/>
    <x v="231"/>
    <n v="69.600000000000009"/>
    <x v="1"/>
    <s v="HIGH"/>
    <n v="0"/>
    <n v="150000"/>
    <n v="150000"/>
    <n v="340"/>
    <n v="721432.26150000037"/>
  </r>
  <r>
    <x v="232"/>
    <x v="199"/>
    <x v="194"/>
    <x v="0"/>
    <x v="9"/>
    <x v="0"/>
    <x v="3"/>
    <x v="2"/>
    <x v="6"/>
    <n v="21"/>
    <n v="326.72000000000003"/>
    <n v="0"/>
    <n v="210.07"/>
    <x v="232"/>
    <n v="2449.6500000000005"/>
    <x v="0"/>
    <s v="NONE"/>
    <n v="5"/>
    <n v="140000"/>
    <n v="140000"/>
    <n v="74"/>
    <n v="721573.10150000034"/>
  </r>
  <r>
    <x v="233"/>
    <x v="200"/>
    <x v="16"/>
    <x v="0"/>
    <x v="3"/>
    <x v="4"/>
    <x v="5"/>
    <x v="1"/>
    <x v="4"/>
    <n v="7"/>
    <n v="20.12"/>
    <n v="0"/>
    <n v="14.05"/>
    <x v="233"/>
    <n v="42.49"/>
    <x v="0"/>
    <s v="NONE"/>
    <n v="7"/>
    <n v="160000"/>
    <n v="160000"/>
    <n v="338"/>
    <n v="721685.70950000035"/>
  </r>
  <r>
    <x v="234"/>
    <x v="201"/>
    <x v="195"/>
    <x v="0"/>
    <x v="5"/>
    <x v="4"/>
    <x v="6"/>
    <x v="1"/>
    <x v="1"/>
    <n v="8"/>
    <n v="16.559999999999999"/>
    <n v="0.15"/>
    <n v="12.44"/>
    <x v="234"/>
    <n v="32.959999999999994"/>
    <x v="1"/>
    <s v="HIGH"/>
    <n v="4"/>
    <n v="160000"/>
    <n v="160000"/>
    <n v="350"/>
    <n v="722043.8825000003"/>
  </r>
  <r>
    <x v="235"/>
    <x v="109"/>
    <x v="196"/>
    <x v="0"/>
    <x v="5"/>
    <x v="4"/>
    <x v="4"/>
    <x v="1"/>
    <x v="4"/>
    <n v="17"/>
    <n v="23.41"/>
    <n v="0.1"/>
    <n v="16.68"/>
    <x v="235"/>
    <n v="114.41000000000001"/>
    <x v="1"/>
    <s v="NONE"/>
    <n v="7"/>
    <n v="160000"/>
    <n v="160000"/>
    <n v="256"/>
    <n v="722698.32250000024"/>
  </r>
  <r>
    <x v="236"/>
    <x v="202"/>
    <x v="197"/>
    <x v="0"/>
    <x v="8"/>
    <x v="2"/>
    <x v="0"/>
    <x v="2"/>
    <x v="15"/>
    <n v="4"/>
    <n v="163.61000000000001"/>
    <n v="0"/>
    <n v="114.1"/>
    <x v="236"/>
    <n v="198.04000000000008"/>
    <x v="0"/>
    <s v="NONE"/>
    <n v="7"/>
    <n v="120000"/>
    <n v="120000"/>
    <n v="206"/>
    <n v="723078.37450000027"/>
  </r>
  <r>
    <x v="237"/>
    <x v="203"/>
    <x v="194"/>
    <x v="0"/>
    <x v="2"/>
    <x v="1"/>
    <x v="5"/>
    <x v="1"/>
    <x v="4"/>
    <n v="18"/>
    <n v="24.84"/>
    <n v="0.15"/>
    <n v="17.440000000000001"/>
    <x v="237"/>
    <n v="133.19999999999999"/>
    <x v="1"/>
    <s v="HIGH"/>
    <n v="4"/>
    <n v="130000"/>
    <n v="130000"/>
    <n v="253"/>
    <n v="724849.73500000022"/>
  </r>
  <r>
    <x v="238"/>
    <x v="204"/>
    <x v="96"/>
    <x v="2"/>
    <x v="17"/>
    <x v="0"/>
    <x v="0"/>
    <x v="2"/>
    <x v="15"/>
    <n v="13"/>
    <n v="143.43"/>
    <n v="0.05"/>
    <n v="101.77"/>
    <x v="238"/>
    <n v="541.58000000000015"/>
    <x v="0"/>
    <s v="NONE"/>
    <n v="2"/>
    <n v="140000"/>
    <n v="140000"/>
    <n v="141"/>
    <n v="725252.2150000002"/>
  </r>
  <r>
    <x v="239"/>
    <x v="175"/>
    <x v="198"/>
    <x v="2"/>
    <x v="13"/>
    <x v="4"/>
    <x v="7"/>
    <x v="1"/>
    <x v="4"/>
    <n v="18"/>
    <n v="27.95"/>
    <n v="0.2"/>
    <n v="18.66"/>
    <x v="239"/>
    <n v="167.21999999999997"/>
    <x v="0"/>
    <s v="HIGH"/>
    <n v="2"/>
    <n v="160000"/>
    <n v="160000"/>
    <n v="246"/>
    <n v="732242.44500000018"/>
  </r>
  <r>
    <x v="240"/>
    <x v="160"/>
    <x v="163"/>
    <x v="0"/>
    <x v="10"/>
    <x v="0"/>
    <x v="1"/>
    <x v="0"/>
    <x v="0"/>
    <n v="13"/>
    <n v="632.6"/>
    <n v="0.15"/>
    <n v="460.63"/>
    <x v="240"/>
    <n v="2235.6100000000006"/>
    <x v="0"/>
    <s v="HIGH"/>
    <n v="7"/>
    <n v="140000"/>
    <n v="140000"/>
    <n v="72"/>
    <n v="732336.37800000014"/>
  </r>
  <r>
    <x v="241"/>
    <x v="89"/>
    <x v="142"/>
    <x v="2"/>
    <x v="16"/>
    <x v="2"/>
    <x v="4"/>
    <x v="3"/>
    <x v="11"/>
    <n v="3"/>
    <n v="34.79"/>
    <n v="0.1"/>
    <n v="27.14"/>
    <x v="241"/>
    <n v="22.949999999999996"/>
    <x v="0"/>
    <s v="NONE"/>
    <n v="3"/>
    <n v="120000"/>
    <n v="120000"/>
    <n v="361"/>
    <n v="735676.33800000011"/>
  </r>
  <r>
    <x v="242"/>
    <x v="205"/>
    <x v="199"/>
    <x v="0"/>
    <x v="0"/>
    <x v="4"/>
    <x v="1"/>
    <x v="0"/>
    <x v="13"/>
    <n v="3"/>
    <n v="1113.32"/>
    <n v="0"/>
    <n v="738.51"/>
    <x v="242"/>
    <n v="1124.4299999999998"/>
    <x v="1"/>
    <s v="NONE"/>
    <n v="4"/>
    <n v="160000"/>
    <n v="160000"/>
    <n v="118"/>
    <n v="746695.65000000014"/>
  </r>
  <r>
    <x v="243"/>
    <x v="74"/>
    <x v="82"/>
    <x v="0"/>
    <x v="5"/>
    <x v="3"/>
    <x v="1"/>
    <x v="2"/>
    <x v="3"/>
    <n v="16"/>
    <n v="765.23"/>
    <n v="0.1"/>
    <n v="519.83000000000004"/>
    <x v="243"/>
    <n v="3926.3999999999996"/>
    <x v="1"/>
    <s v="NONE"/>
    <n v="6"/>
    <n v="150000"/>
    <n v="150000"/>
    <n v="38"/>
    <n v="750724.50000000012"/>
  </r>
  <r>
    <x v="244"/>
    <x v="110"/>
    <x v="196"/>
    <x v="2"/>
    <x v="11"/>
    <x v="3"/>
    <x v="2"/>
    <x v="2"/>
    <x v="16"/>
    <n v="9"/>
    <n v="447.65"/>
    <n v="0"/>
    <n v="325.93"/>
    <x v="244"/>
    <n v="1095.4799999999998"/>
    <x v="0"/>
    <s v="NONE"/>
    <n v="3"/>
    <n v="150000"/>
    <n v="150000"/>
    <n v="106"/>
    <n v="750794.64000000013"/>
  </r>
  <r>
    <x v="245"/>
    <x v="206"/>
    <x v="200"/>
    <x v="2"/>
    <x v="13"/>
    <x v="4"/>
    <x v="4"/>
    <x v="1"/>
    <x v="1"/>
    <n v="6"/>
    <n v="11.69"/>
    <n v="0"/>
    <n v="9.0399999999999991"/>
    <x v="245"/>
    <n v="15.900000000000002"/>
    <x v="1"/>
    <s v="NONE"/>
    <n v="2"/>
    <n v="160000"/>
    <n v="160000"/>
    <n v="371"/>
    <n v="756679.80000000016"/>
  </r>
  <r>
    <x v="246"/>
    <x v="207"/>
    <x v="201"/>
    <x v="2"/>
    <x v="0"/>
    <x v="3"/>
    <x v="1"/>
    <x v="0"/>
    <x v="0"/>
    <n v="12"/>
    <n v="490.43"/>
    <n v="0"/>
    <n v="291.68"/>
    <x v="246"/>
    <n v="2385"/>
    <x v="1"/>
    <s v="NONE"/>
    <n v="3"/>
    <n v="150000"/>
    <n v="150000"/>
    <n v="85"/>
    <n v="756956.30700000015"/>
  </r>
  <r>
    <x v="247"/>
    <x v="111"/>
    <x v="161"/>
    <x v="0"/>
    <x v="15"/>
    <x v="4"/>
    <x v="3"/>
    <x v="1"/>
    <x v="4"/>
    <n v="19"/>
    <n v="16.170000000000002"/>
    <n v="0.1"/>
    <n v="11.62"/>
    <x v="247"/>
    <n v="86.450000000000045"/>
    <x v="0"/>
    <s v="NONE"/>
    <n v="4"/>
    <n v="160000"/>
    <n v="160000"/>
    <n v="284"/>
    <n v="758516.91000000015"/>
  </r>
  <r>
    <x v="248"/>
    <x v="208"/>
    <x v="108"/>
    <x v="2"/>
    <x v="8"/>
    <x v="3"/>
    <x v="3"/>
    <x v="0"/>
    <x v="14"/>
    <n v="11"/>
    <n v="149.34"/>
    <n v="0.05"/>
    <n v="82.43"/>
    <x v="248"/>
    <n v="736.01"/>
    <x v="0"/>
    <s v="NONE"/>
    <n v="3"/>
    <n v="150000"/>
    <n v="150000"/>
    <n v="147"/>
    <n v="759027.88600000017"/>
  </r>
  <r>
    <x v="249"/>
    <x v="209"/>
    <x v="202"/>
    <x v="1"/>
    <x v="8"/>
    <x v="1"/>
    <x v="2"/>
    <x v="1"/>
    <x v="18"/>
    <n v="16"/>
    <n v="39.92"/>
    <n v="0.2"/>
    <n v="23.91"/>
    <x v="249"/>
    <n v="256.16000000000003"/>
    <x v="0"/>
    <s v="HIGH"/>
    <n v="0"/>
    <n v="130000"/>
    <n v="130000"/>
    <n v="223"/>
    <n v="760872.02600000019"/>
  </r>
  <r>
    <x v="250"/>
    <x v="40"/>
    <x v="203"/>
    <x v="1"/>
    <x v="16"/>
    <x v="1"/>
    <x v="2"/>
    <x v="3"/>
    <x v="11"/>
    <n v="23"/>
    <n v="80.180000000000007"/>
    <n v="0"/>
    <n v="44.13"/>
    <x v="250"/>
    <n v="829.15000000000009"/>
    <x v="0"/>
    <s v="NONE"/>
    <n v="0"/>
    <n v="130000"/>
    <n v="130000"/>
    <n v="140"/>
    <n v="763805.12600000016"/>
  </r>
  <r>
    <x v="251"/>
    <x v="210"/>
    <x v="204"/>
    <x v="0"/>
    <x v="1"/>
    <x v="1"/>
    <x v="6"/>
    <x v="2"/>
    <x v="9"/>
    <n v="5"/>
    <n v="586.62"/>
    <n v="0"/>
    <n v="329.08"/>
    <x v="251"/>
    <n v="1287.7"/>
    <x v="0"/>
    <s v="NONE"/>
    <n v="5"/>
    <n v="130000"/>
    <n v="130000"/>
    <n v="125"/>
    <n v="763929.62350000022"/>
  </r>
  <r>
    <x v="252"/>
    <x v="211"/>
    <x v="205"/>
    <x v="1"/>
    <x v="13"/>
    <x v="3"/>
    <x v="5"/>
    <x v="1"/>
    <x v="8"/>
    <n v="5"/>
    <n v="26.21"/>
    <n v="0.05"/>
    <n v="14.91"/>
    <x v="252"/>
    <n v="56.5"/>
    <x v="1"/>
    <s v="NONE"/>
    <n v="0"/>
    <n v="150000"/>
    <n v="150000"/>
    <n v="347"/>
    <n v="779468.65350000025"/>
  </r>
  <r>
    <x v="253"/>
    <x v="212"/>
    <x v="206"/>
    <x v="2"/>
    <x v="2"/>
    <x v="0"/>
    <x v="2"/>
    <x v="2"/>
    <x v="6"/>
    <n v="23"/>
    <n v="675.61"/>
    <n v="0"/>
    <n v="425.31"/>
    <x v="253"/>
    <n v="5756.9000000000005"/>
    <x v="1"/>
    <s v="NONE"/>
    <n v="2"/>
    <n v="140000"/>
    <n v="140000"/>
    <n v="13"/>
    <n v="781824.73350000021"/>
  </r>
  <r>
    <x v="254"/>
    <x v="213"/>
    <x v="207"/>
    <x v="0"/>
    <x v="12"/>
    <x v="2"/>
    <x v="4"/>
    <x v="2"/>
    <x v="6"/>
    <n v="6"/>
    <n v="392.68"/>
    <n v="0"/>
    <n v="255.88"/>
    <x v="254"/>
    <n v="820.80000000000007"/>
    <x v="0"/>
    <s v="NONE"/>
    <n v="6"/>
    <n v="120000"/>
    <n v="120000"/>
    <n v="131"/>
    <n v="782078.30550000025"/>
  </r>
  <r>
    <x v="255"/>
    <x v="214"/>
    <x v="208"/>
    <x v="0"/>
    <x v="12"/>
    <x v="0"/>
    <x v="5"/>
    <x v="1"/>
    <x v="8"/>
    <n v="22"/>
    <n v="13.56"/>
    <n v="0.15"/>
    <n v="9.82"/>
    <x v="255"/>
    <n v="82.28"/>
    <x v="1"/>
    <s v="HIGH"/>
    <n v="4"/>
    <n v="140000"/>
    <n v="140000"/>
    <n v="290"/>
    <n v="783200.54550000024"/>
  </r>
  <r>
    <x v="256"/>
    <x v="134"/>
    <x v="137"/>
    <x v="1"/>
    <x v="18"/>
    <x v="1"/>
    <x v="7"/>
    <x v="2"/>
    <x v="3"/>
    <n v="2"/>
    <n v="561.12"/>
    <n v="0"/>
    <n v="423.66"/>
    <x v="256"/>
    <n v="274.91999999999996"/>
    <x v="0"/>
    <s v="NONE"/>
    <n v="0"/>
    <n v="130000"/>
    <n v="130000"/>
    <n v="172"/>
    <n v="783497.78550000023"/>
  </r>
  <r>
    <x v="257"/>
    <x v="51"/>
    <x v="209"/>
    <x v="2"/>
    <x v="0"/>
    <x v="2"/>
    <x v="5"/>
    <x v="3"/>
    <x v="7"/>
    <n v="4"/>
    <n v="74.31"/>
    <n v="0"/>
    <n v="43.13"/>
    <x v="257"/>
    <n v="124.72"/>
    <x v="1"/>
    <s v="NONE"/>
    <n v="2"/>
    <n v="120000"/>
    <n v="120000"/>
    <n v="277"/>
    <n v="784295.68550000025"/>
  </r>
  <r>
    <x v="258"/>
    <x v="215"/>
    <x v="24"/>
    <x v="0"/>
    <x v="3"/>
    <x v="0"/>
    <x v="3"/>
    <x v="2"/>
    <x v="15"/>
    <n v="1"/>
    <n v="797.9"/>
    <n v="0"/>
    <n v="618.87"/>
    <x v="258"/>
    <n v="179.02999999999997"/>
    <x v="1"/>
    <s v="NONE"/>
    <n v="7"/>
    <n v="140000"/>
    <n v="140000"/>
    <n v="188"/>
    <n v="784593.81450000021"/>
  </r>
  <r>
    <x v="259"/>
    <x v="216"/>
    <x v="78"/>
    <x v="0"/>
    <x v="8"/>
    <x v="3"/>
    <x v="1"/>
    <x v="1"/>
    <x v="1"/>
    <n v="19"/>
    <n v="18.46"/>
    <n v="0.15"/>
    <n v="11.98"/>
    <x v="259"/>
    <n v="123.12"/>
    <x v="1"/>
    <s v="HIGH"/>
    <n v="4"/>
    <n v="150000"/>
    <n v="150000"/>
    <n v="276"/>
    <n v="785004.93450000021"/>
  </r>
  <r>
    <x v="260"/>
    <x v="217"/>
    <x v="210"/>
    <x v="2"/>
    <x v="10"/>
    <x v="0"/>
    <x v="4"/>
    <x v="3"/>
    <x v="10"/>
    <n v="9"/>
    <n v="45.68"/>
    <n v="0"/>
    <n v="25.52"/>
    <x v="260"/>
    <n v="181.44"/>
    <x v="0"/>
    <s v="NONE"/>
    <n v="3"/>
    <n v="140000"/>
    <n v="140000"/>
    <n v="242"/>
    <n v="785277.6745000002"/>
  </r>
  <r>
    <x v="261"/>
    <x v="218"/>
    <x v="211"/>
    <x v="2"/>
    <x v="17"/>
    <x v="4"/>
    <x v="5"/>
    <x v="3"/>
    <x v="7"/>
    <n v="13"/>
    <n v="20.98"/>
    <n v="0"/>
    <n v="14.91"/>
    <x v="261"/>
    <n v="78.91"/>
    <x v="1"/>
    <s v="NONE"/>
    <n v="2"/>
    <n v="160000"/>
    <n v="160000"/>
    <n v="285"/>
    <n v="785519.41450000019"/>
  </r>
  <r>
    <x v="262"/>
    <x v="153"/>
    <x v="155"/>
    <x v="1"/>
    <x v="6"/>
    <x v="2"/>
    <x v="2"/>
    <x v="1"/>
    <x v="8"/>
    <n v="17"/>
    <n v="14.22"/>
    <n v="0"/>
    <n v="8.4600000000000009"/>
    <x v="262"/>
    <n v="97.92"/>
    <x v="0"/>
    <s v="NONE"/>
    <n v="0"/>
    <n v="120000"/>
    <n v="120000"/>
    <n v="293"/>
    <n v="785831.49450000015"/>
  </r>
  <r>
    <x v="263"/>
    <x v="173"/>
    <x v="172"/>
    <x v="1"/>
    <x v="7"/>
    <x v="4"/>
    <x v="2"/>
    <x v="1"/>
    <x v="1"/>
    <n v="8"/>
    <n v="39.01"/>
    <n v="0"/>
    <n v="23.87"/>
    <x v="263"/>
    <n v="121.11999999999998"/>
    <x v="0"/>
    <s v="NONE"/>
    <n v="0"/>
    <n v="160000"/>
    <n v="160000"/>
    <n v="270"/>
    <n v="787763.6745000002"/>
  </r>
  <r>
    <x v="264"/>
    <x v="219"/>
    <x v="212"/>
    <x v="0"/>
    <x v="4"/>
    <x v="2"/>
    <x v="2"/>
    <x v="0"/>
    <x v="12"/>
    <n v="6"/>
    <n v="322.02999999999997"/>
    <n v="0"/>
    <n v="242.02"/>
    <x v="264"/>
    <n v="480.05999999999977"/>
    <x v="1"/>
    <s v="NONE"/>
    <n v="6"/>
    <n v="120000"/>
    <n v="120000"/>
    <n v="139"/>
    <n v="787998.62850000022"/>
  </r>
  <r>
    <x v="265"/>
    <x v="220"/>
    <x v="140"/>
    <x v="2"/>
    <x v="5"/>
    <x v="2"/>
    <x v="0"/>
    <x v="1"/>
    <x v="18"/>
    <n v="18"/>
    <n v="13.74"/>
    <n v="0.05"/>
    <n v="7.69"/>
    <x v="265"/>
    <n v="108.89999999999999"/>
    <x v="1"/>
    <s v="NONE"/>
    <n v="2"/>
    <n v="120000"/>
    <n v="120000"/>
    <n v="298"/>
    <n v="792180.2285000002"/>
  </r>
  <r>
    <x v="266"/>
    <x v="221"/>
    <x v="213"/>
    <x v="2"/>
    <x v="6"/>
    <x v="2"/>
    <x v="1"/>
    <x v="2"/>
    <x v="3"/>
    <n v="20"/>
    <n v="209.08"/>
    <n v="0"/>
    <n v="132.81"/>
    <x v="266"/>
    <n v="1525.4"/>
    <x v="0"/>
    <s v="NONE"/>
    <n v="3"/>
    <n v="120000"/>
    <n v="120000"/>
    <n v="104"/>
    <n v="806035.90850000025"/>
  </r>
  <r>
    <x v="267"/>
    <x v="222"/>
    <x v="214"/>
    <x v="1"/>
    <x v="5"/>
    <x v="2"/>
    <x v="5"/>
    <x v="0"/>
    <x v="12"/>
    <n v="12"/>
    <n v="1154.6400000000001"/>
    <n v="0"/>
    <n v="838.42"/>
    <x v="267"/>
    <n v="3794.6400000000017"/>
    <x v="0"/>
    <s v="NONE"/>
    <n v="0"/>
    <n v="120000"/>
    <n v="120000"/>
    <n v="22"/>
    <n v="806462.62850000022"/>
  </r>
  <r>
    <x v="268"/>
    <x v="223"/>
    <x v="179"/>
    <x v="1"/>
    <x v="9"/>
    <x v="1"/>
    <x v="7"/>
    <x v="1"/>
    <x v="2"/>
    <n v="16"/>
    <n v="26.67"/>
    <n v="0"/>
    <n v="19.38"/>
    <x v="268"/>
    <n v="116.64000000000004"/>
    <x v="0"/>
    <s v="NONE"/>
    <n v="0"/>
    <n v="130000"/>
    <n v="130000"/>
    <n v="239"/>
    <n v="807713.76050000021"/>
  </r>
  <r>
    <x v="269"/>
    <x v="224"/>
    <x v="82"/>
    <x v="0"/>
    <x v="19"/>
    <x v="0"/>
    <x v="4"/>
    <x v="2"/>
    <x v="15"/>
    <n v="24"/>
    <n v="61.33"/>
    <n v="0.15"/>
    <n v="48.28"/>
    <x v="269"/>
    <n v="313.19999999999993"/>
    <x v="0"/>
    <s v="HIGH"/>
    <n v="7"/>
    <n v="140000"/>
    <n v="140000"/>
    <n v="164"/>
    <n v="807786.66050000023"/>
  </r>
  <r>
    <x v="270"/>
    <x v="225"/>
    <x v="61"/>
    <x v="2"/>
    <x v="13"/>
    <x v="1"/>
    <x v="5"/>
    <x v="1"/>
    <x v="18"/>
    <n v="5"/>
    <n v="14.58"/>
    <n v="0"/>
    <n v="8.89"/>
    <x v="270"/>
    <n v="28.449999999999996"/>
    <x v="0"/>
    <s v="NONE"/>
    <n v="2"/>
    <n v="130000"/>
    <n v="130000"/>
    <n v="370"/>
    <n v="810145.45050000027"/>
  </r>
  <r>
    <x v="271"/>
    <x v="226"/>
    <x v="215"/>
    <x v="2"/>
    <x v="8"/>
    <x v="0"/>
    <x v="1"/>
    <x v="0"/>
    <x v="17"/>
    <n v="7"/>
    <n v="336.97"/>
    <n v="0"/>
    <n v="214.86"/>
    <x v="271"/>
    <n v="854.7700000000001"/>
    <x v="1"/>
    <s v="NONE"/>
    <n v="2"/>
    <n v="140000"/>
    <n v="140000"/>
    <n v="130"/>
    <n v="810615.9855000003"/>
  </r>
  <r>
    <x v="272"/>
    <x v="227"/>
    <x v="158"/>
    <x v="2"/>
    <x v="9"/>
    <x v="4"/>
    <x v="7"/>
    <x v="3"/>
    <x v="5"/>
    <n v="13"/>
    <n v="38.1"/>
    <n v="0.05"/>
    <n v="21.92"/>
    <x v="272"/>
    <n v="210.34"/>
    <x v="1"/>
    <s v="NONE"/>
    <n v="2"/>
    <n v="160000"/>
    <n v="160000"/>
    <n v="231"/>
    <n v="811391.15550000034"/>
  </r>
  <r>
    <x v="273"/>
    <x v="228"/>
    <x v="29"/>
    <x v="2"/>
    <x v="19"/>
    <x v="3"/>
    <x v="1"/>
    <x v="3"/>
    <x v="11"/>
    <n v="9"/>
    <n v="86.13"/>
    <n v="0"/>
    <n v="54.73"/>
    <x v="273"/>
    <n v="282.59999999999997"/>
    <x v="0"/>
    <s v="NONE"/>
    <n v="2"/>
    <n v="150000"/>
    <n v="150000"/>
    <n v="191"/>
    <n v="811855.27250000031"/>
  </r>
  <r>
    <x v="274"/>
    <x v="213"/>
    <x v="216"/>
    <x v="1"/>
    <x v="14"/>
    <x v="2"/>
    <x v="6"/>
    <x v="0"/>
    <x v="13"/>
    <n v="1"/>
    <n v="546.02"/>
    <n v="0.15"/>
    <n v="322.83"/>
    <x v="274"/>
    <n v="223.19"/>
    <x v="1"/>
    <s v="HIGH"/>
    <n v="0"/>
    <n v="120000"/>
    <n v="120000"/>
    <n v="232"/>
    <n v="825324.47450000036"/>
  </r>
  <r>
    <x v="275"/>
    <x v="229"/>
    <x v="217"/>
    <x v="1"/>
    <x v="10"/>
    <x v="1"/>
    <x v="7"/>
    <x v="0"/>
    <x v="13"/>
    <n v="18"/>
    <n v="880.34"/>
    <n v="0.15"/>
    <n v="603.05999999999995"/>
    <x v="275"/>
    <n v="4991.0400000000018"/>
    <x v="1"/>
    <s v="HIGH"/>
    <n v="0"/>
    <n v="130000"/>
    <n v="130000"/>
    <n v="25"/>
    <n v="826207.87950000039"/>
  </r>
  <r>
    <x v="276"/>
    <x v="113"/>
    <x v="218"/>
    <x v="0"/>
    <x v="13"/>
    <x v="4"/>
    <x v="6"/>
    <x v="0"/>
    <x v="0"/>
    <n v="2"/>
    <n v="464.95"/>
    <n v="0.05"/>
    <n v="265.91000000000003"/>
    <x v="276"/>
    <n v="398.07999999999993"/>
    <x v="0"/>
    <s v="NONE"/>
    <n v="7"/>
    <n v="160000"/>
    <n v="160000"/>
    <n v="183"/>
    <n v="827745.39750000043"/>
  </r>
  <r>
    <x v="277"/>
    <x v="3"/>
    <x v="219"/>
    <x v="2"/>
    <x v="19"/>
    <x v="1"/>
    <x v="5"/>
    <x v="0"/>
    <x v="12"/>
    <n v="4"/>
    <n v="404.61"/>
    <n v="0.05"/>
    <n v="270.17"/>
    <x v="277"/>
    <n v="537.76"/>
    <x v="1"/>
    <s v="NONE"/>
    <n v="2"/>
    <n v="130000"/>
    <n v="130000"/>
    <n v="148"/>
    <n v="827938.77000000048"/>
  </r>
  <r>
    <x v="278"/>
    <x v="230"/>
    <x v="220"/>
    <x v="0"/>
    <x v="4"/>
    <x v="0"/>
    <x v="2"/>
    <x v="3"/>
    <x v="10"/>
    <n v="15"/>
    <n v="13.57"/>
    <n v="0.05"/>
    <n v="9.0399999999999991"/>
    <x v="278"/>
    <n v="67.950000000000017"/>
    <x v="1"/>
    <s v="NONE"/>
    <n v="5"/>
    <n v="140000"/>
    <n v="140000"/>
    <n v="317"/>
    <n v="842634.27600000054"/>
  </r>
  <r>
    <x v="279"/>
    <x v="209"/>
    <x v="202"/>
    <x v="1"/>
    <x v="3"/>
    <x v="3"/>
    <x v="2"/>
    <x v="0"/>
    <x v="12"/>
    <n v="14"/>
    <n v="1166.31"/>
    <n v="0.1"/>
    <n v="707.81"/>
    <x v="279"/>
    <n v="6419"/>
    <x v="0"/>
    <s v="NONE"/>
    <n v="0"/>
    <n v="150000"/>
    <n v="150000"/>
    <n v="19"/>
    <n v="842764.83600000059"/>
  </r>
  <r>
    <x v="280"/>
    <x v="231"/>
    <x v="221"/>
    <x v="2"/>
    <x v="13"/>
    <x v="4"/>
    <x v="0"/>
    <x v="3"/>
    <x v="7"/>
    <n v="10"/>
    <n v="16.32"/>
    <n v="0.2"/>
    <n v="11.89"/>
    <x v="280"/>
    <n v="44.3"/>
    <x v="0"/>
    <s v="HIGH"/>
    <n v="2"/>
    <n v="160000"/>
    <n v="160000"/>
    <n v="344"/>
    <n v="844168.9170000006"/>
  </r>
  <r>
    <x v="281"/>
    <x v="112"/>
    <x v="222"/>
    <x v="0"/>
    <x v="10"/>
    <x v="1"/>
    <x v="4"/>
    <x v="2"/>
    <x v="6"/>
    <n v="14"/>
    <n v="117.99"/>
    <n v="0.15"/>
    <n v="77.739999999999995"/>
    <x v="281"/>
    <n v="563.5"/>
    <x v="1"/>
    <s v="HIGH"/>
    <n v="5"/>
    <n v="130000"/>
    <n v="130000"/>
    <n v="154"/>
    <n v="854416.60500000056"/>
  </r>
  <r>
    <x v="282"/>
    <x v="232"/>
    <x v="223"/>
    <x v="1"/>
    <x v="16"/>
    <x v="4"/>
    <x v="7"/>
    <x v="0"/>
    <x v="0"/>
    <n v="11"/>
    <n v="1035.1199999999999"/>
    <n v="0.1"/>
    <n v="687.88"/>
    <x v="282"/>
    <n v="3819.639999999999"/>
    <x v="0"/>
    <s v="NONE"/>
    <n v="0"/>
    <n v="160000"/>
    <n v="160000"/>
    <n v="42"/>
    <n v="855516.47700000054"/>
  </r>
  <r>
    <x v="283"/>
    <x v="233"/>
    <x v="224"/>
    <x v="0"/>
    <x v="13"/>
    <x v="1"/>
    <x v="5"/>
    <x v="3"/>
    <x v="10"/>
    <n v="19"/>
    <n v="72.36"/>
    <n v="0.2"/>
    <n v="44.97"/>
    <x v="283"/>
    <n v="520.41"/>
    <x v="0"/>
    <s v="HIGH"/>
    <n v="6"/>
    <n v="130000"/>
    <n v="130000"/>
    <n v="173"/>
    <n v="855708.65700000059"/>
  </r>
  <r>
    <x v="284"/>
    <x v="234"/>
    <x v="225"/>
    <x v="0"/>
    <x v="14"/>
    <x v="2"/>
    <x v="6"/>
    <x v="3"/>
    <x v="5"/>
    <n v="6"/>
    <n v="32.03"/>
    <n v="0"/>
    <n v="22.57"/>
    <x v="284"/>
    <n v="56.760000000000005"/>
    <x v="0"/>
    <s v="NONE"/>
    <n v="7"/>
    <n v="120000"/>
    <n v="120000"/>
    <n v="318"/>
    <n v="855720.52900000056"/>
  </r>
  <r>
    <x v="285"/>
    <x v="200"/>
    <x v="226"/>
    <x v="2"/>
    <x v="6"/>
    <x v="3"/>
    <x v="3"/>
    <x v="1"/>
    <x v="4"/>
    <n v="1"/>
    <n v="14.84"/>
    <n v="0.2"/>
    <n v="9.2899999999999991"/>
    <x v="285"/>
    <n v="5.5500000000000007"/>
    <x v="1"/>
    <s v="HIGH"/>
    <n v="3"/>
    <n v="150000"/>
    <n v="150000"/>
    <n v="397"/>
    <n v="862914.30100000056"/>
  </r>
  <r>
    <x v="286"/>
    <x v="161"/>
    <x v="164"/>
    <x v="2"/>
    <x v="19"/>
    <x v="1"/>
    <x v="6"/>
    <x v="0"/>
    <x v="12"/>
    <n v="9"/>
    <n v="888.12"/>
    <n v="0.1"/>
    <n v="631.79999999999995"/>
    <x v="286"/>
    <n v="2306.8800000000006"/>
    <x v="1"/>
    <s v="NONE"/>
    <n v="3"/>
    <n v="130000"/>
    <n v="130000"/>
    <n v="67"/>
    <n v="862992.07600000058"/>
  </r>
  <r>
    <x v="287"/>
    <x v="235"/>
    <x v="227"/>
    <x v="1"/>
    <x v="18"/>
    <x v="2"/>
    <x v="1"/>
    <x v="3"/>
    <x v="5"/>
    <n v="6"/>
    <n v="15.25"/>
    <n v="0.15"/>
    <n v="10.32"/>
    <x v="287"/>
    <n v="29.58"/>
    <x v="1"/>
    <s v="HIGH"/>
    <n v="0"/>
    <n v="120000"/>
    <n v="120000"/>
    <n v="368"/>
    <n v="864248.95400000061"/>
  </r>
  <r>
    <x v="288"/>
    <x v="236"/>
    <x v="228"/>
    <x v="2"/>
    <x v="0"/>
    <x v="3"/>
    <x v="1"/>
    <x v="2"/>
    <x v="6"/>
    <n v="2"/>
    <n v="739.34"/>
    <n v="0.15"/>
    <n v="443.44"/>
    <x v="288"/>
    <n v="591.80000000000007"/>
    <x v="1"/>
    <s v="HIGH"/>
    <n v="3"/>
    <n v="150000"/>
    <n v="150000"/>
    <n v="163"/>
    <n v="864979.99400000065"/>
  </r>
  <r>
    <x v="289"/>
    <x v="237"/>
    <x v="20"/>
    <x v="2"/>
    <x v="0"/>
    <x v="3"/>
    <x v="2"/>
    <x v="3"/>
    <x v="11"/>
    <n v="20"/>
    <n v="45.69"/>
    <n v="0.2"/>
    <n v="30.55"/>
    <x v="289"/>
    <n v="302.79999999999995"/>
    <x v="1"/>
    <s v="HIGH"/>
    <n v="3"/>
    <n v="150000"/>
    <n v="150000"/>
    <n v="201"/>
    <n v="865145.35400000063"/>
  </r>
  <r>
    <x v="290"/>
    <x v="238"/>
    <x v="229"/>
    <x v="0"/>
    <x v="11"/>
    <x v="0"/>
    <x v="7"/>
    <x v="1"/>
    <x v="1"/>
    <n v="6"/>
    <n v="34.450000000000003"/>
    <n v="0.2"/>
    <n v="27.26"/>
    <x v="290"/>
    <n v="43.140000000000008"/>
    <x v="0"/>
    <s v="HIGH"/>
    <n v="5"/>
    <n v="140000"/>
    <n v="140000"/>
    <n v="326"/>
    <n v="865556.18400000059"/>
  </r>
  <r>
    <x v="291"/>
    <x v="172"/>
    <x v="107"/>
    <x v="1"/>
    <x v="7"/>
    <x v="4"/>
    <x v="1"/>
    <x v="2"/>
    <x v="16"/>
    <n v="1"/>
    <n v="410.83"/>
    <n v="0"/>
    <n v="292.45"/>
    <x v="291"/>
    <n v="118.38"/>
    <x v="1"/>
    <s v="NONE"/>
    <n v="0"/>
    <n v="160000"/>
    <n v="160000"/>
    <n v="243"/>
    <n v="865648.79400000058"/>
  </r>
  <r>
    <x v="292"/>
    <x v="43"/>
    <x v="42"/>
    <x v="2"/>
    <x v="4"/>
    <x v="4"/>
    <x v="2"/>
    <x v="1"/>
    <x v="2"/>
    <n v="9"/>
    <n v="10.29"/>
    <n v="0"/>
    <n v="7.4"/>
    <x v="292"/>
    <n v="26.009999999999991"/>
    <x v="1"/>
    <s v="NONE"/>
    <n v="2"/>
    <n v="160000"/>
    <n v="160000"/>
    <n v="363"/>
    <n v="865783.21400000062"/>
  </r>
  <r>
    <x v="293"/>
    <x v="239"/>
    <x v="230"/>
    <x v="2"/>
    <x v="14"/>
    <x v="2"/>
    <x v="3"/>
    <x v="1"/>
    <x v="18"/>
    <n v="22"/>
    <n v="6.11"/>
    <n v="0"/>
    <n v="3.87"/>
    <x v="293"/>
    <n v="49.28"/>
    <x v="1"/>
    <s v="NONE"/>
    <n v="3"/>
    <n v="120000"/>
    <n v="120000"/>
    <n v="341"/>
    <n v="866130.41400000057"/>
  </r>
  <r>
    <x v="294"/>
    <x v="240"/>
    <x v="231"/>
    <x v="0"/>
    <x v="5"/>
    <x v="1"/>
    <x v="0"/>
    <x v="1"/>
    <x v="2"/>
    <n v="20"/>
    <n v="17.36"/>
    <n v="0"/>
    <n v="12.5"/>
    <x v="294"/>
    <n v="97.199999999999989"/>
    <x v="0"/>
    <s v="NONE"/>
    <n v="4"/>
    <n v="130000"/>
    <n v="130000"/>
    <n v="262"/>
    <n v="866862.73400000052"/>
  </r>
  <r>
    <x v="295"/>
    <x v="241"/>
    <x v="232"/>
    <x v="1"/>
    <x v="4"/>
    <x v="4"/>
    <x v="1"/>
    <x v="1"/>
    <x v="8"/>
    <n v="23"/>
    <n v="39.799999999999997"/>
    <n v="0.2"/>
    <n v="23.78"/>
    <x v="295"/>
    <n v="368.45999999999992"/>
    <x v="0"/>
    <s v="HIGH"/>
    <n v="0"/>
    <n v="160000"/>
    <n v="160000"/>
    <n v="198"/>
    <n v="866930.36000000057"/>
  </r>
  <r>
    <x v="296"/>
    <x v="242"/>
    <x v="233"/>
    <x v="2"/>
    <x v="9"/>
    <x v="0"/>
    <x v="4"/>
    <x v="1"/>
    <x v="18"/>
    <n v="4"/>
    <n v="19.89"/>
    <n v="0.15"/>
    <n v="12.23"/>
    <x v="296"/>
    <n v="30.64"/>
    <x v="0"/>
    <s v="HIGH"/>
    <n v="3"/>
    <n v="140000"/>
    <n v="140000"/>
    <n v="372"/>
    <n v="871656.9170000006"/>
  </r>
  <r>
    <x v="297"/>
    <x v="243"/>
    <x v="63"/>
    <x v="2"/>
    <x v="0"/>
    <x v="0"/>
    <x v="3"/>
    <x v="0"/>
    <x v="12"/>
    <n v="11"/>
    <n v="477.43"/>
    <n v="0.1"/>
    <n v="297.68"/>
    <x v="297"/>
    <n v="1977.25"/>
    <x v="1"/>
    <s v="NONE"/>
    <n v="3"/>
    <n v="140000"/>
    <n v="140000"/>
    <n v="97"/>
    <n v="879799.39550000057"/>
  </r>
  <r>
    <x v="298"/>
    <x v="229"/>
    <x v="217"/>
    <x v="1"/>
    <x v="7"/>
    <x v="1"/>
    <x v="5"/>
    <x v="0"/>
    <x v="14"/>
    <n v="13"/>
    <n v="659.31"/>
    <n v="0.05"/>
    <n v="371.53"/>
    <x v="298"/>
    <n v="3741.1399999999994"/>
    <x v="0"/>
    <s v="NONE"/>
    <n v="0"/>
    <n v="130000"/>
    <n v="130000"/>
    <n v="60"/>
    <n v="880002.94550000061"/>
  </r>
  <r>
    <x v="299"/>
    <x v="244"/>
    <x v="136"/>
    <x v="2"/>
    <x v="8"/>
    <x v="2"/>
    <x v="4"/>
    <x v="1"/>
    <x v="8"/>
    <n v="23"/>
    <n v="8.85"/>
    <n v="0"/>
    <n v="5.95"/>
    <x v="299"/>
    <n v="66.699999999999989"/>
    <x v="0"/>
    <s v="NONE"/>
    <n v="3"/>
    <n v="120000"/>
    <n v="120000"/>
    <n v="311"/>
    <n v="896774.2835000006"/>
  </r>
  <r>
    <x v="300"/>
    <x v="245"/>
    <x v="215"/>
    <x v="0"/>
    <x v="2"/>
    <x v="4"/>
    <x v="0"/>
    <x v="0"/>
    <x v="0"/>
    <n v="19"/>
    <n v="929.16"/>
    <n v="0.05"/>
    <n v="693.43"/>
    <x v="300"/>
    <n v="4478.8700000000008"/>
    <x v="0"/>
    <s v="NONE"/>
    <n v="4"/>
    <n v="160000"/>
    <n v="160000"/>
    <n v="7"/>
    <n v="896787.30350000062"/>
  </r>
  <r>
    <x v="301"/>
    <x v="246"/>
    <x v="234"/>
    <x v="2"/>
    <x v="1"/>
    <x v="4"/>
    <x v="6"/>
    <x v="3"/>
    <x v="5"/>
    <n v="1"/>
    <n v="13.02"/>
    <n v="0"/>
    <n v="9.5399999999999991"/>
    <x v="301"/>
    <n v="3.4800000000000004"/>
    <x v="0"/>
    <s v="NONE"/>
    <n v="3"/>
    <n v="160000"/>
    <n v="160000"/>
    <n v="396"/>
    <n v="900278.70350000064"/>
  </r>
  <r>
    <x v="302"/>
    <x v="247"/>
    <x v="235"/>
    <x v="1"/>
    <x v="0"/>
    <x v="3"/>
    <x v="0"/>
    <x v="2"/>
    <x v="3"/>
    <n v="12"/>
    <n v="290.95"/>
    <n v="0"/>
    <n v="187.92"/>
    <x v="302"/>
    <n v="1236.3600000000001"/>
    <x v="1"/>
    <s v="NONE"/>
    <n v="0"/>
    <n v="150000"/>
    <n v="150000"/>
    <n v="113"/>
    <n v="926564.08350000065"/>
  </r>
  <r>
    <x v="303"/>
    <x v="248"/>
    <x v="236"/>
    <x v="2"/>
    <x v="8"/>
    <x v="0"/>
    <x v="2"/>
    <x v="0"/>
    <x v="13"/>
    <n v="22"/>
    <n v="1194.79"/>
    <n v="0"/>
    <n v="954.68"/>
    <x v="303"/>
    <n v="5282.42"/>
    <x v="0"/>
    <s v="NONE"/>
    <n v="3"/>
    <n v="140000"/>
    <n v="140000"/>
    <n v="1"/>
    <n v="927645.48350000067"/>
  </r>
  <r>
    <x v="304"/>
    <x v="249"/>
    <x v="237"/>
    <x v="1"/>
    <x v="0"/>
    <x v="3"/>
    <x v="0"/>
    <x v="2"/>
    <x v="15"/>
    <n v="5"/>
    <n v="216.28"/>
    <n v="0"/>
    <n v="150.84"/>
    <x v="304"/>
    <n v="327.2"/>
    <x v="0"/>
    <s v="NONE"/>
    <n v="0"/>
    <n v="150000"/>
    <n v="150000"/>
    <n v="174"/>
    <n v="929024.64250000066"/>
  </r>
  <r>
    <x v="305"/>
    <x v="250"/>
    <x v="238"/>
    <x v="1"/>
    <x v="16"/>
    <x v="0"/>
    <x v="1"/>
    <x v="0"/>
    <x v="14"/>
    <n v="2"/>
    <n v="811.27"/>
    <n v="0.15"/>
    <n v="615.78"/>
    <x v="305"/>
    <n v="390.98"/>
    <x v="1"/>
    <s v="HIGH"/>
    <n v="0"/>
    <n v="140000"/>
    <n v="140000"/>
    <n v="155"/>
    <n v="929459.6300000007"/>
  </r>
  <r>
    <x v="306"/>
    <x v="251"/>
    <x v="93"/>
    <x v="2"/>
    <x v="16"/>
    <x v="3"/>
    <x v="3"/>
    <x v="3"/>
    <x v="5"/>
    <n v="23"/>
    <n v="22.25"/>
    <n v="0.15"/>
    <n v="16.05"/>
    <x v="306"/>
    <n v="142.6"/>
    <x v="1"/>
    <s v="HIGH"/>
    <n v="3"/>
    <n v="150000"/>
    <n v="150000"/>
    <n v="238"/>
    <n v="931757.58200000075"/>
  </r>
  <r>
    <x v="307"/>
    <x v="252"/>
    <x v="239"/>
    <x v="2"/>
    <x v="2"/>
    <x v="2"/>
    <x v="4"/>
    <x v="0"/>
    <x v="17"/>
    <n v="4"/>
    <n v="638.32000000000005"/>
    <n v="0.1"/>
    <n v="369.86"/>
    <x v="307"/>
    <n v="1073.8400000000001"/>
    <x v="0"/>
    <s v="NONE"/>
    <n v="2"/>
    <n v="120000"/>
    <n v="120000"/>
    <n v="133"/>
    <n v="940111.64200000081"/>
  </r>
  <r>
    <x v="308"/>
    <x v="253"/>
    <x v="240"/>
    <x v="2"/>
    <x v="2"/>
    <x v="1"/>
    <x v="0"/>
    <x v="2"/>
    <x v="9"/>
    <n v="23"/>
    <n v="363.22"/>
    <n v="0"/>
    <n v="203.35"/>
    <x v="308"/>
    <n v="3677.0100000000007"/>
    <x v="1"/>
    <s v="NONE"/>
    <n v="2"/>
    <n v="130000"/>
    <n v="130000"/>
    <n v="57"/>
    <n v="940309.7620000008"/>
  </r>
  <r>
    <x v="309"/>
    <x v="254"/>
    <x v="241"/>
    <x v="1"/>
    <x v="11"/>
    <x v="1"/>
    <x v="1"/>
    <x v="3"/>
    <x v="19"/>
    <n v="3"/>
    <n v="82.55"/>
    <n v="0.2"/>
    <n v="57.25"/>
    <x v="309"/>
    <n v="75.899999999999991"/>
    <x v="0"/>
    <s v="HIGH"/>
    <n v="0"/>
    <n v="130000"/>
    <n v="130000"/>
    <n v="314"/>
    <n v="943847.16200000083"/>
  </r>
  <r>
    <x v="310"/>
    <x v="78"/>
    <x v="242"/>
    <x v="2"/>
    <x v="2"/>
    <x v="3"/>
    <x v="0"/>
    <x v="0"/>
    <x v="17"/>
    <n v="10"/>
    <n v="353.74"/>
    <n v="0"/>
    <n v="203.38"/>
    <x v="310"/>
    <n v="1503.6000000000001"/>
    <x v="1"/>
    <s v="NONE"/>
    <n v="2"/>
    <n v="150000"/>
    <n v="150000"/>
    <n v="111"/>
    <n v="943876.38500000082"/>
  </r>
  <r>
    <x v="311"/>
    <x v="255"/>
    <x v="243"/>
    <x v="0"/>
    <x v="12"/>
    <x v="4"/>
    <x v="5"/>
    <x v="1"/>
    <x v="2"/>
    <n v="1"/>
    <n v="34.380000000000003"/>
    <n v="0.15"/>
    <n v="24.47"/>
    <x v="311"/>
    <n v="9.9100000000000037"/>
    <x v="1"/>
    <s v="HIGH"/>
    <n v="6"/>
    <n v="160000"/>
    <n v="160000"/>
    <n v="391"/>
    <n v="944088.92850000085"/>
  </r>
  <r>
    <x v="312"/>
    <x v="256"/>
    <x v="244"/>
    <x v="0"/>
    <x v="15"/>
    <x v="0"/>
    <x v="4"/>
    <x v="1"/>
    <x v="1"/>
    <n v="13"/>
    <n v="17.21"/>
    <n v="0.05"/>
    <n v="10.64"/>
    <x v="312"/>
    <n v="85.41"/>
    <x v="1"/>
    <s v="NONE"/>
    <n v="7"/>
    <n v="140000"/>
    <n v="140000"/>
    <n v="304"/>
    <n v="953855.25150000083"/>
  </r>
  <r>
    <x v="313"/>
    <x v="257"/>
    <x v="245"/>
    <x v="0"/>
    <x v="17"/>
    <x v="1"/>
    <x v="4"/>
    <x v="2"/>
    <x v="3"/>
    <n v="14"/>
    <n v="734.31"/>
    <n v="0.05"/>
    <n v="551.15"/>
    <x v="313"/>
    <n v="2564.2399999999998"/>
    <x v="0"/>
    <s v="NONE"/>
    <n v="7"/>
    <n v="130000"/>
    <n v="130000"/>
    <n v="45"/>
    <n v="954144.50750000088"/>
  </r>
  <r>
    <x v="314"/>
    <x v="189"/>
    <x v="246"/>
    <x v="2"/>
    <x v="11"/>
    <x v="2"/>
    <x v="4"/>
    <x v="3"/>
    <x v="19"/>
    <n v="16"/>
    <n v="19.03"/>
    <n v="0.05"/>
    <n v="12.56"/>
    <x v="314"/>
    <n v="103.52000000000001"/>
    <x v="0"/>
    <s v="NONE"/>
    <n v="3"/>
    <n v="120000"/>
    <n v="120000"/>
    <n v="280"/>
    <n v="954347.68300000089"/>
  </r>
  <r>
    <x v="315"/>
    <x v="243"/>
    <x v="146"/>
    <x v="1"/>
    <x v="13"/>
    <x v="2"/>
    <x v="0"/>
    <x v="1"/>
    <x v="1"/>
    <n v="11"/>
    <n v="21.73"/>
    <n v="0.15"/>
    <n v="15.76"/>
    <x v="315"/>
    <n v="65.67"/>
    <x v="0"/>
    <s v="HIGH"/>
    <n v="0"/>
    <n v="120000"/>
    <n v="120000"/>
    <n v="313"/>
    <n v="956054.14300000085"/>
  </r>
  <r>
    <x v="316"/>
    <x v="258"/>
    <x v="247"/>
    <x v="1"/>
    <x v="4"/>
    <x v="0"/>
    <x v="4"/>
    <x v="2"/>
    <x v="15"/>
    <n v="20"/>
    <n v="100.38"/>
    <n v="0.15"/>
    <n v="78.66"/>
    <x v="316"/>
    <n v="434.4"/>
    <x v="0"/>
    <s v="HIGH"/>
    <n v="0"/>
    <n v="140000"/>
    <n v="140000"/>
    <n v="142"/>
    <n v="957193.48900000087"/>
  </r>
  <r>
    <x v="317"/>
    <x v="41"/>
    <x v="40"/>
    <x v="2"/>
    <x v="0"/>
    <x v="0"/>
    <x v="2"/>
    <x v="0"/>
    <x v="14"/>
    <n v="2"/>
    <n v="632.97"/>
    <n v="0.1"/>
    <n v="449.93"/>
    <x v="317"/>
    <n v="366.08000000000004"/>
    <x v="0"/>
    <s v="NONE"/>
    <n v="2"/>
    <n v="140000"/>
    <n v="140000"/>
    <n v="171"/>
    <n v="957696.22900000087"/>
  </r>
  <r>
    <x v="318"/>
    <x v="259"/>
    <x v="207"/>
    <x v="2"/>
    <x v="8"/>
    <x v="2"/>
    <x v="5"/>
    <x v="3"/>
    <x v="5"/>
    <n v="15"/>
    <n v="35.28"/>
    <n v="0.05"/>
    <n v="25.98"/>
    <x v="318"/>
    <n v="139.5"/>
    <x v="1"/>
    <s v="NONE"/>
    <n v="2"/>
    <n v="120000"/>
    <n v="120000"/>
    <n v="224"/>
    <n v="959176.07900000084"/>
  </r>
  <r>
    <x v="319"/>
    <x v="260"/>
    <x v="248"/>
    <x v="0"/>
    <x v="16"/>
    <x v="2"/>
    <x v="1"/>
    <x v="3"/>
    <x v="11"/>
    <n v="20"/>
    <n v="87.05"/>
    <n v="0.15"/>
    <n v="54.51"/>
    <x v="319"/>
    <n v="650.79999999999995"/>
    <x v="0"/>
    <s v="HIGH"/>
    <n v="5"/>
    <n v="120000"/>
    <n v="120000"/>
    <n v="153"/>
    <n v="959782.89150000084"/>
  </r>
  <r>
    <x v="320"/>
    <x v="261"/>
    <x v="249"/>
    <x v="1"/>
    <x v="8"/>
    <x v="1"/>
    <x v="2"/>
    <x v="1"/>
    <x v="1"/>
    <n v="25"/>
    <n v="25.55"/>
    <n v="0.05"/>
    <n v="18.63"/>
    <x v="320"/>
    <n v="173.00000000000006"/>
    <x v="0"/>
    <s v="NONE"/>
    <n v="0"/>
    <n v="130000"/>
    <n v="130000"/>
    <n v="213"/>
    <n v="984123.99150000082"/>
  </r>
  <r>
    <x v="321"/>
    <x v="262"/>
    <x v="250"/>
    <x v="2"/>
    <x v="11"/>
    <x v="1"/>
    <x v="2"/>
    <x v="0"/>
    <x v="17"/>
    <n v="21"/>
    <n v="1159.0999999999999"/>
    <n v="0"/>
    <n v="796.21"/>
    <x v="321"/>
    <n v="7620.6899999999969"/>
    <x v="0"/>
    <s v="NONE"/>
    <n v="2"/>
    <n v="130000"/>
    <n v="130000"/>
    <n v="2"/>
    <n v="988223.5915000008"/>
  </r>
  <r>
    <x v="322"/>
    <x v="263"/>
    <x v="251"/>
    <x v="2"/>
    <x v="1"/>
    <x v="1"/>
    <x v="5"/>
    <x v="2"/>
    <x v="15"/>
    <n v="20"/>
    <n v="204.98"/>
    <n v="0"/>
    <n v="160.41"/>
    <x v="322"/>
    <n v="891.39999999999986"/>
    <x v="0"/>
    <s v="NONE"/>
    <n v="2"/>
    <n v="130000"/>
    <n v="130000"/>
    <n v="105"/>
    <n v="996948.26350000082"/>
  </r>
  <r>
    <x v="323"/>
    <x v="264"/>
    <x v="200"/>
    <x v="1"/>
    <x v="1"/>
    <x v="3"/>
    <x v="1"/>
    <x v="2"/>
    <x v="16"/>
    <n v="22"/>
    <n v="495.72"/>
    <n v="0.2"/>
    <n v="383.16"/>
    <x v="323"/>
    <n v="2476.3200000000002"/>
    <x v="0"/>
    <s v="HIGH"/>
    <n v="0"/>
    <n v="150000"/>
    <n v="150000"/>
    <n v="51"/>
    <n v="1011195.0475000008"/>
  </r>
  <r>
    <x v="324"/>
    <x v="218"/>
    <x v="252"/>
    <x v="1"/>
    <x v="16"/>
    <x v="3"/>
    <x v="7"/>
    <x v="0"/>
    <x v="20"/>
    <n v="16"/>
    <n v="1113.03"/>
    <n v="0.2"/>
    <n v="868.49"/>
    <x v="324"/>
    <n v="3912.6399999999994"/>
    <x v="0"/>
    <s v="HIGH"/>
    <n v="0"/>
    <n v="150000"/>
    <n v="150000"/>
    <n v="20"/>
    <n v="1017413.1295000009"/>
  </r>
  <r>
    <x v="325"/>
    <x v="265"/>
    <x v="253"/>
    <x v="1"/>
    <x v="14"/>
    <x v="2"/>
    <x v="2"/>
    <x v="0"/>
    <x v="14"/>
    <n v="13"/>
    <n v="531.46"/>
    <n v="0.1"/>
    <n v="414"/>
    <x v="325"/>
    <n v="1526.9800000000005"/>
    <x v="0"/>
    <s v="NONE"/>
    <n v="0"/>
    <n v="120000"/>
    <n v="120000"/>
    <n v="83"/>
    <n v="1017899.3295000008"/>
  </r>
  <r>
    <x v="326"/>
    <x v="266"/>
    <x v="254"/>
    <x v="2"/>
    <x v="5"/>
    <x v="4"/>
    <x v="4"/>
    <x v="1"/>
    <x v="2"/>
    <n v="20"/>
    <n v="28.6"/>
    <n v="0.15"/>
    <n v="19.39"/>
    <x v="326"/>
    <n v="184.20000000000002"/>
    <x v="0"/>
    <s v="HIGH"/>
    <n v="2"/>
    <n v="160000"/>
    <n v="160000"/>
    <n v="226"/>
    <n v="1034313.5595000008"/>
  </r>
  <r>
    <x v="327"/>
    <x v="244"/>
    <x v="255"/>
    <x v="1"/>
    <x v="18"/>
    <x v="0"/>
    <x v="4"/>
    <x v="2"/>
    <x v="9"/>
    <n v="21"/>
    <n v="781.63"/>
    <n v="0"/>
    <n v="528.36"/>
    <x v="327"/>
    <n v="5318.67"/>
    <x v="0"/>
    <s v="NONE"/>
    <n v="0"/>
    <n v="140000"/>
    <n v="140000"/>
    <n v="8"/>
    <n v="1034365.3795000007"/>
  </r>
  <r>
    <x v="328"/>
    <x v="267"/>
    <x v="256"/>
    <x v="2"/>
    <x v="1"/>
    <x v="2"/>
    <x v="3"/>
    <x v="3"/>
    <x v="7"/>
    <n v="1"/>
    <n v="51.82"/>
    <n v="0"/>
    <n v="33.44"/>
    <x v="328"/>
    <n v="18.380000000000003"/>
    <x v="0"/>
    <s v="NONE"/>
    <n v="2"/>
    <n v="120000"/>
    <n v="120000"/>
    <n v="378"/>
    <n v="1035097.0095000007"/>
  </r>
  <r>
    <x v="329"/>
    <x v="268"/>
    <x v="136"/>
    <x v="0"/>
    <x v="2"/>
    <x v="0"/>
    <x v="4"/>
    <x v="1"/>
    <x v="4"/>
    <n v="23"/>
    <n v="31.81"/>
    <n v="0"/>
    <n v="23.49"/>
    <x v="329"/>
    <n v="191.36"/>
    <x v="1"/>
    <s v="NONE"/>
    <n v="4"/>
    <n v="140000"/>
    <n v="140000"/>
    <n v="200"/>
    <n v="1048043.5295000008"/>
  </r>
  <r>
    <x v="330"/>
    <x v="269"/>
    <x v="257"/>
    <x v="0"/>
    <x v="0"/>
    <x v="2"/>
    <x v="7"/>
    <x v="0"/>
    <x v="20"/>
    <n v="17"/>
    <n v="951.95"/>
    <n v="0.2"/>
    <n v="689.24"/>
    <x v="330"/>
    <n v="4466.0700000000006"/>
    <x v="0"/>
    <s v="HIGH"/>
    <n v="4"/>
    <n v="120000"/>
    <n v="120000"/>
    <n v="27"/>
    <n v="1048232.5295000008"/>
  </r>
  <r>
    <x v="331"/>
    <x v="270"/>
    <x v="258"/>
    <x v="1"/>
    <x v="17"/>
    <x v="2"/>
    <x v="1"/>
    <x v="3"/>
    <x v="19"/>
    <n v="9"/>
    <n v="26.25"/>
    <n v="0.2"/>
    <n v="19.559999999999999"/>
    <x v="331"/>
    <n v="60.210000000000008"/>
    <x v="0"/>
    <s v="HIGH"/>
    <n v="0"/>
    <n v="120000"/>
    <n v="120000"/>
    <n v="320"/>
    <n v="1048324.7895000008"/>
  </r>
  <r>
    <x v="332"/>
    <x v="197"/>
    <x v="259"/>
    <x v="1"/>
    <x v="14"/>
    <x v="2"/>
    <x v="0"/>
    <x v="1"/>
    <x v="18"/>
    <n v="7"/>
    <n v="13.18"/>
    <n v="0"/>
    <n v="10.49"/>
    <x v="332"/>
    <n v="18.829999999999998"/>
    <x v="1"/>
    <s v="NONE"/>
    <n v="0"/>
    <n v="120000"/>
    <n v="120000"/>
    <n v="364"/>
    <n v="1049941.3875000009"/>
  </r>
  <r>
    <x v="333"/>
    <x v="236"/>
    <x v="73"/>
    <x v="1"/>
    <x v="1"/>
    <x v="3"/>
    <x v="3"/>
    <x v="0"/>
    <x v="14"/>
    <n v="9"/>
    <n v="199.58"/>
    <n v="0.1"/>
    <n v="151.97999999999999"/>
    <x v="333"/>
    <n v="428.4000000000002"/>
    <x v="1"/>
    <s v="NONE"/>
    <n v="0"/>
    <n v="150000"/>
    <n v="150000"/>
    <n v="143"/>
    <n v="1063619.7875000008"/>
  </r>
  <r>
    <x v="334"/>
    <x v="271"/>
    <x v="260"/>
    <x v="1"/>
    <x v="15"/>
    <x v="1"/>
    <x v="1"/>
    <x v="2"/>
    <x v="3"/>
    <n v="20"/>
    <n v="683.92"/>
    <n v="0"/>
    <n v="460.03"/>
    <x v="334"/>
    <n v="4477.7999999999993"/>
    <x v="1"/>
    <s v="NONE"/>
    <n v="0"/>
    <n v="130000"/>
    <n v="130000"/>
    <n v="23"/>
    <n v="1063715.9615000009"/>
  </r>
  <r>
    <x v="335"/>
    <x v="47"/>
    <x v="46"/>
    <x v="1"/>
    <x v="9"/>
    <x v="1"/>
    <x v="5"/>
    <x v="1"/>
    <x v="18"/>
    <n v="6"/>
    <n v="17.809999999999999"/>
    <n v="0.1"/>
    <n v="11.59"/>
    <x v="335"/>
    <n v="37.319999999999993"/>
    <x v="0"/>
    <s v="NONE"/>
    <n v="0"/>
    <n v="130000"/>
    <n v="130000"/>
    <n v="359"/>
    <n v="1064022.5735000009"/>
  </r>
  <r>
    <x v="336"/>
    <x v="202"/>
    <x v="261"/>
    <x v="1"/>
    <x v="19"/>
    <x v="0"/>
    <x v="0"/>
    <x v="1"/>
    <x v="2"/>
    <n v="17"/>
    <n v="20.04"/>
    <n v="0.1"/>
    <n v="15.15"/>
    <x v="336"/>
    <n v="83.129999999999981"/>
    <x v="1"/>
    <s v="NONE"/>
    <n v="0"/>
    <n v="140000"/>
    <n v="140000"/>
    <n v="273"/>
    <n v="1064767.8675000009"/>
  </r>
  <r>
    <x v="337"/>
    <x v="272"/>
    <x v="82"/>
    <x v="0"/>
    <x v="14"/>
    <x v="1"/>
    <x v="0"/>
    <x v="1"/>
    <x v="8"/>
    <n v="22"/>
    <n v="35.659999999999997"/>
    <n v="0.05"/>
    <n v="27.78"/>
    <x v="337"/>
    <n v="173.3599999999999"/>
    <x v="0"/>
    <s v="NONE"/>
    <n v="4"/>
    <n v="130000"/>
    <n v="130000"/>
    <n v="196"/>
    <n v="1064790.4095000008"/>
  </r>
  <r>
    <x v="338"/>
    <x v="273"/>
    <x v="262"/>
    <x v="2"/>
    <x v="18"/>
    <x v="2"/>
    <x v="6"/>
    <x v="1"/>
    <x v="1"/>
    <n v="2"/>
    <n v="13.26"/>
    <n v="0.15"/>
    <n v="7.93"/>
    <x v="338"/>
    <n v="10.66"/>
    <x v="0"/>
    <s v="HIGH"/>
    <n v="2"/>
    <n v="120000"/>
    <n v="120000"/>
    <n v="394"/>
    <n v="1078944.5495000007"/>
  </r>
  <r>
    <x v="339"/>
    <x v="274"/>
    <x v="40"/>
    <x v="1"/>
    <x v="10"/>
    <x v="3"/>
    <x v="0"/>
    <x v="0"/>
    <x v="17"/>
    <n v="14"/>
    <n v="1011.01"/>
    <n v="0"/>
    <n v="691.97"/>
    <x v="339"/>
    <n v="4466.5599999999995"/>
    <x v="1"/>
    <s v="NONE"/>
    <n v="0"/>
    <n v="150000"/>
    <n v="150000"/>
    <n v="21"/>
    <n v="1079184.9335000007"/>
  </r>
  <r>
    <x v="340"/>
    <x v="275"/>
    <x v="263"/>
    <x v="0"/>
    <x v="15"/>
    <x v="4"/>
    <x v="1"/>
    <x v="2"/>
    <x v="3"/>
    <n v="3"/>
    <n v="100.16"/>
    <n v="0.2"/>
    <n v="61.4"/>
    <x v="340"/>
    <n v="116.28"/>
    <x v="0"/>
    <s v="HIGH"/>
    <n v="4"/>
    <n v="160000"/>
    <n v="160000"/>
    <n v="295"/>
    <n v="1079226.0935000007"/>
  </r>
  <r>
    <x v="341"/>
    <x v="276"/>
    <x v="264"/>
    <x v="2"/>
    <x v="4"/>
    <x v="4"/>
    <x v="7"/>
    <x v="3"/>
    <x v="5"/>
    <n v="1"/>
    <n v="41.16"/>
    <n v="0"/>
    <n v="28.14"/>
    <x v="341"/>
    <n v="13.019999999999996"/>
    <x v="1"/>
    <s v="NONE"/>
    <n v="2"/>
    <n v="160000"/>
    <n v="160000"/>
    <n v="387"/>
    <n v="1086701.5935000007"/>
  </r>
  <r>
    <x v="342"/>
    <x v="211"/>
    <x v="205"/>
    <x v="1"/>
    <x v="12"/>
    <x v="2"/>
    <x v="3"/>
    <x v="0"/>
    <x v="13"/>
    <n v="10"/>
    <n v="747.55"/>
    <n v="0"/>
    <n v="554.16999999999996"/>
    <x v="342"/>
    <n v="1933.8"/>
    <x v="1"/>
    <s v="NONE"/>
    <n v="0"/>
    <n v="120000"/>
    <n v="120000"/>
    <n v="65"/>
    <n v="1096294.6815000006"/>
  </r>
  <r>
    <x v="343"/>
    <x v="277"/>
    <x v="265"/>
    <x v="0"/>
    <x v="16"/>
    <x v="1"/>
    <x v="0"/>
    <x v="0"/>
    <x v="14"/>
    <n v="24"/>
    <n v="499.64"/>
    <n v="0.2"/>
    <n v="380.91"/>
    <x v="343"/>
    <n v="2849.5199999999991"/>
    <x v="1"/>
    <s v="HIGH"/>
    <n v="6"/>
    <n v="130000"/>
    <n v="130000"/>
    <n v="47"/>
    <n v="1096298.6235000007"/>
  </r>
  <r>
    <x v="344"/>
    <x v="278"/>
    <x v="266"/>
    <x v="0"/>
    <x v="16"/>
    <x v="2"/>
    <x v="4"/>
    <x v="1"/>
    <x v="1"/>
    <n v="2"/>
    <n v="2.19"/>
    <n v="0.1"/>
    <n v="1.42"/>
    <x v="344"/>
    <n v="1.54"/>
    <x v="0"/>
    <s v="NONE"/>
    <n v="4"/>
    <n v="120000"/>
    <n v="120000"/>
    <n v="400"/>
    <n v="1096348.4955000007"/>
  </r>
  <r>
    <x v="345"/>
    <x v="279"/>
    <x v="267"/>
    <x v="0"/>
    <x v="7"/>
    <x v="4"/>
    <x v="4"/>
    <x v="1"/>
    <x v="4"/>
    <n v="6"/>
    <n v="10.39"/>
    <n v="0.2"/>
    <n v="6.37"/>
    <x v="345"/>
    <n v="24.120000000000005"/>
    <x v="1"/>
    <s v="HIGH"/>
    <n v="4"/>
    <n v="160000"/>
    <n v="160000"/>
    <n v="380"/>
    <n v="1099152.8355000007"/>
  </r>
  <r>
    <x v="346"/>
    <x v="242"/>
    <x v="233"/>
    <x v="2"/>
    <x v="16"/>
    <x v="4"/>
    <x v="5"/>
    <x v="0"/>
    <x v="20"/>
    <n v="22"/>
    <n v="127.47"/>
    <n v="0"/>
    <n v="76.400000000000006"/>
    <x v="346"/>
    <n v="1123.54"/>
    <x v="1"/>
    <s v="NONE"/>
    <n v="3"/>
    <n v="160000"/>
    <n v="160000"/>
    <n v="126"/>
    <n v="1103767.7755000007"/>
  </r>
  <r>
    <x v="347"/>
    <x v="280"/>
    <x v="198"/>
    <x v="0"/>
    <x v="19"/>
    <x v="3"/>
    <x v="5"/>
    <x v="2"/>
    <x v="6"/>
    <n v="11"/>
    <n v="419.54"/>
    <n v="0"/>
    <n v="295.39"/>
    <x v="347"/>
    <n v="1365.6500000000003"/>
    <x v="0"/>
    <s v="NONE"/>
    <n v="6"/>
    <n v="150000"/>
    <n v="150000"/>
    <n v="100"/>
    <n v="1103984.4235000007"/>
  </r>
  <r>
    <x v="348"/>
    <x v="170"/>
    <x v="268"/>
    <x v="2"/>
    <x v="9"/>
    <x v="4"/>
    <x v="1"/>
    <x v="1"/>
    <x v="2"/>
    <n v="8"/>
    <n v="31.86"/>
    <n v="0.15"/>
    <n v="23.42"/>
    <x v="348"/>
    <n v="67.519999999999982"/>
    <x v="0"/>
    <s v="HIGH"/>
    <n v="3"/>
    <n v="160000"/>
    <n v="160000"/>
    <n v="301"/>
    <n v="1110420.5485000007"/>
  </r>
  <r>
    <x v="349"/>
    <x v="281"/>
    <x v="198"/>
    <x v="2"/>
    <x v="8"/>
    <x v="4"/>
    <x v="6"/>
    <x v="2"/>
    <x v="16"/>
    <n v="25"/>
    <n v="286.05"/>
    <n v="0.1"/>
    <n v="165.11"/>
    <x v="349"/>
    <n v="3023.5"/>
    <x v="1"/>
    <s v="NONE"/>
    <n v="3"/>
    <n v="160000"/>
    <n v="160000"/>
    <n v="81"/>
    <n v="1111990.7605000008"/>
  </r>
  <r>
    <x v="350"/>
    <x v="282"/>
    <x v="269"/>
    <x v="1"/>
    <x v="3"/>
    <x v="3"/>
    <x v="1"/>
    <x v="2"/>
    <x v="16"/>
    <n v="21"/>
    <n v="83.08"/>
    <n v="0.1"/>
    <n v="57.72"/>
    <x v="350"/>
    <n v="532.55999999999995"/>
    <x v="0"/>
    <s v="NONE"/>
    <n v="0"/>
    <n v="150000"/>
    <n v="150000"/>
    <n v="146"/>
    <n v="1112099.8565000007"/>
  </r>
  <r>
    <x v="351"/>
    <x v="25"/>
    <x v="270"/>
    <x v="2"/>
    <x v="6"/>
    <x v="2"/>
    <x v="4"/>
    <x v="1"/>
    <x v="18"/>
    <n v="13"/>
    <n v="10.49"/>
    <n v="0.2"/>
    <n v="7.32"/>
    <x v="351"/>
    <n v="41.21"/>
    <x v="0"/>
    <s v="HIGH"/>
    <n v="2"/>
    <n v="120000"/>
    <n v="120000"/>
    <n v="355"/>
    <n v="1118661.0085000007"/>
  </r>
  <r>
    <x v="352"/>
    <x v="283"/>
    <x v="271"/>
    <x v="1"/>
    <x v="7"/>
    <x v="0"/>
    <x v="1"/>
    <x v="0"/>
    <x v="14"/>
    <n v="8"/>
    <n v="1025.18"/>
    <n v="0.2"/>
    <n v="815.49"/>
    <x v="352"/>
    <n v="1677.5200000000004"/>
    <x v="0"/>
    <s v="HIGH"/>
    <n v="0"/>
    <n v="140000"/>
    <n v="140000"/>
    <n v="80"/>
    <n v="1128687.9685000007"/>
  </r>
  <r>
    <x v="353"/>
    <x v="284"/>
    <x v="272"/>
    <x v="1"/>
    <x v="13"/>
    <x v="2"/>
    <x v="4"/>
    <x v="2"/>
    <x v="6"/>
    <n v="24"/>
    <n v="417.79"/>
    <n v="0"/>
    <n v="234.01"/>
    <x v="353"/>
    <n v="4410.7200000000012"/>
    <x v="1"/>
    <s v="NONE"/>
    <n v="0"/>
    <n v="120000"/>
    <n v="120000"/>
    <n v="43"/>
    <n v="1128878.9185000006"/>
  </r>
  <r>
    <x v="354"/>
    <x v="285"/>
    <x v="273"/>
    <x v="1"/>
    <x v="17"/>
    <x v="1"/>
    <x v="0"/>
    <x v="1"/>
    <x v="2"/>
    <n v="12"/>
    <n v="16.75"/>
    <n v="0.05"/>
    <n v="12.9"/>
    <x v="354"/>
    <n v="46.199999999999996"/>
    <x v="0"/>
    <s v="NONE"/>
    <n v="0"/>
    <n v="130000"/>
    <n v="130000"/>
    <n v="319"/>
    <n v="1129188.5005000005"/>
  </r>
  <r>
    <x v="355"/>
    <x v="101"/>
    <x v="274"/>
    <x v="2"/>
    <x v="16"/>
    <x v="2"/>
    <x v="4"/>
    <x v="1"/>
    <x v="2"/>
    <n v="21"/>
    <n v="16.38"/>
    <n v="0.1"/>
    <n v="11.68"/>
    <x v="355"/>
    <n v="98.699999999999989"/>
    <x v="0"/>
    <s v="NONE"/>
    <n v="3"/>
    <n v="120000"/>
    <n v="120000"/>
    <n v="272"/>
    <n v="1140652.6605000005"/>
  </r>
  <r>
    <x v="356"/>
    <x v="286"/>
    <x v="275"/>
    <x v="2"/>
    <x v="18"/>
    <x v="4"/>
    <x v="2"/>
    <x v="2"/>
    <x v="9"/>
    <n v="16"/>
    <n v="716.51"/>
    <n v="0"/>
    <n v="483.97"/>
    <x v="356"/>
    <n v="3720.6399999999994"/>
    <x v="0"/>
    <s v="NONE"/>
    <n v="3"/>
    <n v="160000"/>
    <n v="160000"/>
    <n v="35"/>
    <n v="1141605.4365000005"/>
  </r>
  <r>
    <x v="357"/>
    <x v="41"/>
    <x v="276"/>
    <x v="0"/>
    <x v="2"/>
    <x v="2"/>
    <x v="0"/>
    <x v="2"/>
    <x v="3"/>
    <n v="6"/>
    <n v="176.44"/>
    <n v="0.1"/>
    <n v="128.68"/>
    <x v="357"/>
    <n v="286.55999999999995"/>
    <x v="0"/>
    <s v="NONE"/>
    <n v="4"/>
    <n v="120000"/>
    <n v="120000"/>
    <n v="180"/>
    <n v="1141729.0125000004"/>
  </r>
  <r>
    <x v="358"/>
    <x v="287"/>
    <x v="93"/>
    <x v="0"/>
    <x v="6"/>
    <x v="4"/>
    <x v="6"/>
    <x v="1"/>
    <x v="1"/>
    <n v="19"/>
    <n v="8.1300000000000008"/>
    <n v="0.2"/>
    <n v="5.31"/>
    <x v="358"/>
    <n v="53.58000000000002"/>
    <x v="1"/>
    <s v="HIGH"/>
    <n v="5"/>
    <n v="160000"/>
    <n v="160000"/>
    <n v="348"/>
    <n v="1143235.6725000003"/>
  </r>
  <r>
    <x v="359"/>
    <x v="26"/>
    <x v="27"/>
    <x v="0"/>
    <x v="17"/>
    <x v="2"/>
    <x v="4"/>
    <x v="2"/>
    <x v="6"/>
    <n v="6"/>
    <n v="251.11"/>
    <n v="0"/>
    <n v="170.54"/>
    <x v="359"/>
    <n v="483.42000000000013"/>
    <x v="0"/>
    <s v="NONE"/>
    <n v="7"/>
    <n v="120000"/>
    <n v="120000"/>
    <n v="150"/>
    <n v="1143294.6105000004"/>
  </r>
  <r>
    <x v="360"/>
    <x v="258"/>
    <x v="206"/>
    <x v="2"/>
    <x v="8"/>
    <x v="1"/>
    <x v="6"/>
    <x v="1"/>
    <x v="1"/>
    <n v="6"/>
    <n v="10.34"/>
    <n v="0.05"/>
    <n v="7.24"/>
    <x v="360"/>
    <n v="18.599999999999998"/>
    <x v="1"/>
    <s v="NONE"/>
    <n v="3"/>
    <n v="130000"/>
    <n v="130000"/>
    <n v="375"/>
    <n v="1143511.0605000004"/>
  </r>
  <r>
    <x v="361"/>
    <x v="274"/>
    <x v="34"/>
    <x v="0"/>
    <x v="13"/>
    <x v="2"/>
    <x v="5"/>
    <x v="1"/>
    <x v="8"/>
    <n v="13"/>
    <n v="16.649999999999999"/>
    <n v="0"/>
    <n v="9.23"/>
    <x v="361"/>
    <n v="96.45999999999998"/>
    <x v="1"/>
    <s v="NONE"/>
    <n v="7"/>
    <n v="120000"/>
    <n v="120000"/>
    <n v="302"/>
    <n v="1159070.1405000004"/>
  </r>
  <r>
    <x v="362"/>
    <x v="288"/>
    <x v="277"/>
    <x v="1"/>
    <x v="14"/>
    <x v="4"/>
    <x v="1"/>
    <x v="0"/>
    <x v="12"/>
    <n v="17"/>
    <n v="915.24"/>
    <n v="0"/>
    <n v="613.72"/>
    <x v="362"/>
    <n v="5125.84"/>
    <x v="0"/>
    <s v="NONE"/>
    <n v="0"/>
    <n v="160000"/>
    <n v="160000"/>
    <n v="12"/>
    <n v="1159672.8925000005"/>
  </r>
  <r>
    <x v="363"/>
    <x v="289"/>
    <x v="278"/>
    <x v="1"/>
    <x v="18"/>
    <x v="4"/>
    <x v="1"/>
    <x v="3"/>
    <x v="7"/>
    <n v="17"/>
    <n v="44.32"/>
    <n v="0.2"/>
    <n v="29.72"/>
    <x v="363"/>
    <n v="248.20000000000002"/>
    <x v="0"/>
    <s v="HIGH"/>
    <n v="0"/>
    <n v="160000"/>
    <n v="160000"/>
    <n v="214"/>
    <n v="1160687.4445000004"/>
  </r>
  <r>
    <x v="364"/>
    <x v="2"/>
    <x v="163"/>
    <x v="0"/>
    <x v="2"/>
    <x v="1"/>
    <x v="6"/>
    <x v="0"/>
    <x v="14"/>
    <n v="3"/>
    <n v="375.76"/>
    <n v="0.1"/>
    <n v="245.06"/>
    <x v="364"/>
    <n v="392.09999999999997"/>
    <x v="0"/>
    <s v="NONE"/>
    <n v="5"/>
    <n v="130000"/>
    <n v="130000"/>
    <n v="179"/>
    <n v="1165496.1085000006"/>
  </r>
  <r>
    <x v="365"/>
    <x v="290"/>
    <x v="279"/>
    <x v="2"/>
    <x v="12"/>
    <x v="2"/>
    <x v="1"/>
    <x v="0"/>
    <x v="20"/>
    <n v="21"/>
    <n v="286.23"/>
    <n v="0.2"/>
    <n v="180.03"/>
    <x v="365"/>
    <n v="2230.2000000000003"/>
    <x v="1"/>
    <s v="HIGH"/>
    <n v="2"/>
    <n v="120000"/>
    <n v="120000"/>
    <n v="95"/>
    <n v="1166097.3985000006"/>
  </r>
  <r>
    <x v="366"/>
    <x v="291"/>
    <x v="280"/>
    <x v="1"/>
    <x v="2"/>
    <x v="0"/>
    <x v="7"/>
    <x v="3"/>
    <x v="7"/>
    <n v="12"/>
    <n v="58.95"/>
    <n v="0.15"/>
    <n v="38.28"/>
    <x v="366"/>
    <n v="248.04000000000002"/>
    <x v="0"/>
    <s v="HIGH"/>
    <n v="0"/>
    <n v="140000"/>
    <n v="140000"/>
    <n v="215"/>
    <n v="1166547.0785000005"/>
  </r>
  <r>
    <x v="367"/>
    <x v="66"/>
    <x v="281"/>
    <x v="2"/>
    <x v="16"/>
    <x v="0"/>
    <x v="6"/>
    <x v="3"/>
    <x v="10"/>
    <n v="10"/>
    <n v="56.21"/>
    <n v="0.2"/>
    <n v="40.83"/>
    <x v="367"/>
    <n v="153.80000000000001"/>
    <x v="0"/>
    <s v="HIGH"/>
    <n v="2"/>
    <n v="140000"/>
    <n v="140000"/>
    <n v="234"/>
    <n v="1167451.6145000006"/>
  </r>
  <r>
    <x v="368"/>
    <x v="292"/>
    <x v="282"/>
    <x v="2"/>
    <x v="10"/>
    <x v="3"/>
    <x v="7"/>
    <x v="3"/>
    <x v="10"/>
    <n v="18"/>
    <n v="59.12"/>
    <n v="0.15"/>
    <n v="42.96"/>
    <x v="368"/>
    <n v="290.87999999999994"/>
    <x v="1"/>
    <s v="HIGH"/>
    <n v="3"/>
    <n v="150000"/>
    <n v="150000"/>
    <n v="182"/>
    <n v="1168509.2945000005"/>
  </r>
  <r>
    <x v="369"/>
    <x v="226"/>
    <x v="283"/>
    <x v="0"/>
    <x v="6"/>
    <x v="1"/>
    <x v="7"/>
    <x v="0"/>
    <x v="0"/>
    <n v="3"/>
    <n v="352.56"/>
    <n v="0"/>
    <n v="200.96"/>
    <x v="369"/>
    <n v="454.79999999999995"/>
    <x v="0"/>
    <s v="NONE"/>
    <n v="4"/>
    <n v="130000"/>
    <n v="130000"/>
    <n v="177"/>
    <n v="1168517.5055000004"/>
  </r>
  <r>
    <x v="370"/>
    <x v="293"/>
    <x v="16"/>
    <x v="2"/>
    <x v="9"/>
    <x v="3"/>
    <x v="6"/>
    <x v="1"/>
    <x v="18"/>
    <n v="1"/>
    <n v="9.66"/>
    <n v="0.15"/>
    <n v="7.56"/>
    <x v="370"/>
    <n v="2.1000000000000005"/>
    <x v="1"/>
    <s v="HIGH"/>
    <n v="2"/>
    <n v="150000"/>
    <n v="150000"/>
    <n v="398"/>
    <n v="1169781.9155000004"/>
  </r>
  <r>
    <x v="371"/>
    <x v="294"/>
    <x v="284"/>
    <x v="0"/>
    <x v="17"/>
    <x v="1"/>
    <x v="2"/>
    <x v="2"/>
    <x v="9"/>
    <n v="21"/>
    <n v="60.21"/>
    <n v="0"/>
    <n v="34.42"/>
    <x v="371"/>
    <n v="541.59"/>
    <x v="1"/>
    <s v="NONE"/>
    <n v="6"/>
    <n v="130000"/>
    <n v="130000"/>
    <n v="162"/>
    <n v="1170138.1855000004"/>
  </r>
  <r>
    <x v="372"/>
    <x v="295"/>
    <x v="285"/>
    <x v="1"/>
    <x v="10"/>
    <x v="2"/>
    <x v="1"/>
    <x v="3"/>
    <x v="5"/>
    <n v="23"/>
    <n v="15.49"/>
    <n v="0"/>
    <n v="10.65"/>
    <x v="372"/>
    <n v="111.32"/>
    <x v="0"/>
    <s v="NONE"/>
    <n v="0"/>
    <n v="120000"/>
    <n v="120000"/>
    <n v="259"/>
    <n v="1170378.7445000003"/>
  </r>
  <r>
    <x v="373"/>
    <x v="240"/>
    <x v="286"/>
    <x v="1"/>
    <x v="8"/>
    <x v="1"/>
    <x v="7"/>
    <x v="2"/>
    <x v="9"/>
    <n v="1"/>
    <n v="253.22"/>
    <n v="0.05"/>
    <n v="171.32"/>
    <x v="373"/>
    <n v="81.900000000000006"/>
    <x v="0"/>
    <s v="NONE"/>
    <n v="0"/>
    <n v="130000"/>
    <n v="130000"/>
    <n v="294"/>
    <n v="1186051.7045000002"/>
  </r>
  <r>
    <x v="374"/>
    <x v="296"/>
    <x v="287"/>
    <x v="1"/>
    <x v="16"/>
    <x v="0"/>
    <x v="3"/>
    <x v="0"/>
    <x v="20"/>
    <n v="15"/>
    <n v="1160.96"/>
    <n v="0.1"/>
    <n v="778.9"/>
    <x v="374"/>
    <n v="5730.9000000000005"/>
    <x v="1"/>
    <s v="NONE"/>
    <n v="0"/>
    <n v="140000"/>
    <n v="140000"/>
    <n v="10"/>
    <n v="1186149.1685000001"/>
  </r>
  <r>
    <x v="375"/>
    <x v="297"/>
    <x v="288"/>
    <x v="2"/>
    <x v="6"/>
    <x v="3"/>
    <x v="5"/>
    <x v="3"/>
    <x v="7"/>
    <n v="3"/>
    <n v="40.61"/>
    <n v="0.2"/>
    <n v="32.43"/>
    <x v="375"/>
    <n v="24.54"/>
    <x v="0"/>
    <s v="HIGH"/>
    <n v="3"/>
    <n v="150000"/>
    <n v="150000"/>
    <n v="357"/>
    <n v="1186196.1735"/>
  </r>
  <r>
    <x v="376"/>
    <x v="298"/>
    <x v="289"/>
    <x v="0"/>
    <x v="11"/>
    <x v="2"/>
    <x v="3"/>
    <x v="1"/>
    <x v="18"/>
    <n v="10"/>
    <n v="5.53"/>
    <n v="0.15"/>
    <n v="4.08"/>
    <x v="376"/>
    <n v="14.500000000000002"/>
    <x v="1"/>
    <s v="HIGH"/>
    <n v="6"/>
    <n v="120000"/>
    <n v="120000"/>
    <n v="385"/>
    <n v="1187689.9125000001"/>
  </r>
  <r>
    <x v="377"/>
    <x v="299"/>
    <x v="281"/>
    <x v="1"/>
    <x v="18"/>
    <x v="0"/>
    <x v="0"/>
    <x v="2"/>
    <x v="15"/>
    <n v="9"/>
    <n v="195.26"/>
    <n v="0.15"/>
    <n v="140.74"/>
    <x v="377"/>
    <n v="490.67999999999984"/>
    <x v="1"/>
    <s v="HIGH"/>
    <n v="0"/>
    <n v="140000"/>
    <n v="140000"/>
    <n v="152"/>
    <n v="1193121.0325000002"/>
  </r>
  <r>
    <x v="378"/>
    <x v="268"/>
    <x v="136"/>
    <x v="0"/>
    <x v="10"/>
    <x v="0"/>
    <x v="0"/>
    <x v="2"/>
    <x v="6"/>
    <n v="8"/>
    <n v="678.89"/>
    <n v="0"/>
    <n v="399.87"/>
    <x v="378"/>
    <n v="2232.16"/>
    <x v="1"/>
    <s v="NONE"/>
    <n v="4"/>
    <n v="140000"/>
    <n v="140000"/>
    <n v="88"/>
    <n v="1193801.0425000002"/>
  </r>
  <r>
    <x v="379"/>
    <x v="259"/>
    <x v="106"/>
    <x v="2"/>
    <x v="16"/>
    <x v="3"/>
    <x v="1"/>
    <x v="3"/>
    <x v="7"/>
    <n v="12"/>
    <n v="59.65"/>
    <n v="0.05"/>
    <n v="46.2"/>
    <x v="379"/>
    <n v="161.39999999999995"/>
    <x v="1"/>
    <s v="NONE"/>
    <n v="3"/>
    <n v="150000"/>
    <n v="150000"/>
    <n v="204"/>
    <n v="1194323.8180000002"/>
  </r>
  <r>
    <x v="380"/>
    <x v="300"/>
    <x v="290"/>
    <x v="0"/>
    <x v="13"/>
    <x v="1"/>
    <x v="4"/>
    <x v="1"/>
    <x v="8"/>
    <n v="17"/>
    <n v="32.369999999999997"/>
    <n v="0.05"/>
    <n v="25.41"/>
    <x v="380"/>
    <n v="118.31999999999995"/>
    <x v="0"/>
    <s v="NONE"/>
    <n v="4"/>
    <n v="130000"/>
    <n v="130000"/>
    <n v="221"/>
    <n v="1195618.6145000001"/>
  </r>
  <r>
    <x v="381"/>
    <x v="301"/>
    <x v="291"/>
    <x v="2"/>
    <x v="7"/>
    <x v="3"/>
    <x v="6"/>
    <x v="2"/>
    <x v="15"/>
    <n v="23"/>
    <n v="66.23"/>
    <n v="0.15"/>
    <n v="39.92"/>
    <x v="381"/>
    <n v="605.13000000000011"/>
    <x v="0"/>
    <s v="HIGH"/>
    <n v="3"/>
    <n v="150000"/>
    <n v="150000"/>
    <n v="161"/>
    <n v="1196233.3345000001"/>
  </r>
  <r>
    <x v="382"/>
    <x v="8"/>
    <x v="292"/>
    <x v="2"/>
    <x v="2"/>
    <x v="2"/>
    <x v="0"/>
    <x v="1"/>
    <x v="4"/>
    <n v="16"/>
    <n v="38.42"/>
    <n v="0"/>
    <n v="24.65"/>
    <x v="382"/>
    <n v="220.32000000000005"/>
    <x v="0"/>
    <s v="NONE"/>
    <n v="3"/>
    <n v="120000"/>
    <n v="120000"/>
    <n v="211"/>
    <n v="1196534.1685000001"/>
  </r>
  <r>
    <x v="383"/>
    <x v="279"/>
    <x v="261"/>
    <x v="2"/>
    <x v="4"/>
    <x v="0"/>
    <x v="3"/>
    <x v="3"/>
    <x v="19"/>
    <n v="6"/>
    <n v="55.71"/>
    <n v="0.1"/>
    <n v="40.19"/>
    <x v="383"/>
    <n v="93.120000000000019"/>
    <x v="0"/>
    <s v="NONE"/>
    <n v="3"/>
    <n v="140000"/>
    <n v="140000"/>
    <n v="275"/>
    <n v="1196557.0920000002"/>
  </r>
  <r>
    <x v="384"/>
    <x v="302"/>
    <x v="293"/>
    <x v="2"/>
    <x v="5"/>
    <x v="1"/>
    <x v="4"/>
    <x v="3"/>
    <x v="5"/>
    <n v="1"/>
    <n v="24.13"/>
    <n v="0.05"/>
    <n v="14.08"/>
    <x v="384"/>
    <n v="10.049999999999999"/>
    <x v="1"/>
    <s v="NONE"/>
    <n v="3"/>
    <n v="130000"/>
    <n v="130000"/>
    <n v="393"/>
    <n v="1196745.9220000003"/>
  </r>
  <r>
    <x v="385"/>
    <x v="303"/>
    <x v="150"/>
    <x v="0"/>
    <x v="17"/>
    <x v="2"/>
    <x v="7"/>
    <x v="1"/>
    <x v="18"/>
    <n v="23"/>
    <n v="8.2100000000000009"/>
    <n v="0"/>
    <n v="6.19"/>
    <x v="385"/>
    <n v="46.460000000000008"/>
    <x v="1"/>
    <s v="NONE"/>
    <n v="7"/>
    <n v="120000"/>
    <n v="120000"/>
    <n v="321"/>
    <n v="1196763.5720000002"/>
  </r>
  <r>
    <x v="386"/>
    <x v="304"/>
    <x v="294"/>
    <x v="2"/>
    <x v="18"/>
    <x v="0"/>
    <x v="3"/>
    <x v="1"/>
    <x v="2"/>
    <n v="1"/>
    <n v="17.649999999999999"/>
    <n v="0"/>
    <n v="13.53"/>
    <x v="386"/>
    <n v="4.1199999999999992"/>
    <x v="0"/>
    <s v="NONE"/>
    <n v="2"/>
    <n v="140000"/>
    <n v="140000"/>
    <n v="395"/>
    <n v="1197076.2740000002"/>
  </r>
  <r>
    <x v="387"/>
    <x v="146"/>
    <x v="295"/>
    <x v="0"/>
    <x v="6"/>
    <x v="2"/>
    <x v="6"/>
    <x v="1"/>
    <x v="2"/>
    <n v="13"/>
    <n v="25.32"/>
    <n v="0.05"/>
    <n v="17.920000000000002"/>
    <x v="387"/>
    <n v="96.199999999999989"/>
    <x v="1"/>
    <s v="NONE"/>
    <n v="5"/>
    <n v="120000"/>
    <n v="120000"/>
    <n v="269"/>
    <n v="1197100.7540000002"/>
  </r>
  <r>
    <x v="388"/>
    <x v="305"/>
    <x v="296"/>
    <x v="0"/>
    <x v="13"/>
    <x v="2"/>
    <x v="7"/>
    <x v="1"/>
    <x v="8"/>
    <n v="3"/>
    <n v="8.16"/>
    <n v="0"/>
    <n v="5.13"/>
    <x v="388"/>
    <n v="9.09"/>
    <x v="0"/>
    <s v="NONE"/>
    <n v="6"/>
    <n v="120000"/>
    <n v="120000"/>
    <n v="392"/>
    <n v="1197249.0140000002"/>
  </r>
  <r>
    <x v="389"/>
    <x v="306"/>
    <x v="297"/>
    <x v="2"/>
    <x v="18"/>
    <x v="4"/>
    <x v="6"/>
    <x v="3"/>
    <x v="19"/>
    <n v="6"/>
    <n v="24.71"/>
    <n v="0"/>
    <n v="14.36"/>
    <x v="389"/>
    <n v="62.100000000000009"/>
    <x v="1"/>
    <s v="NONE"/>
    <n v="3"/>
    <n v="160000"/>
    <n v="160000"/>
    <n v="334"/>
    <n v="1200461.8475000001"/>
  </r>
  <r>
    <x v="390"/>
    <x v="211"/>
    <x v="142"/>
    <x v="0"/>
    <x v="4"/>
    <x v="1"/>
    <x v="5"/>
    <x v="0"/>
    <x v="12"/>
    <n v="3"/>
    <n v="1127.31"/>
    <n v="0.05"/>
    <n v="774.58"/>
    <x v="390"/>
    <n v="1058.1899999999996"/>
    <x v="1"/>
    <s v="NONE"/>
    <n v="4"/>
    <n v="130000"/>
    <n v="130000"/>
    <n v="120"/>
    <n v="1222832.3810000001"/>
  </r>
  <r>
    <x v="391"/>
    <x v="307"/>
    <x v="298"/>
    <x v="0"/>
    <x v="14"/>
    <x v="0"/>
    <x v="4"/>
    <x v="0"/>
    <x v="0"/>
    <n v="21"/>
    <n v="1121.33"/>
    <n v="0.05"/>
    <n v="703.46"/>
    <x v="391"/>
    <n v="8775.2699999999968"/>
    <x v="1"/>
    <s v="NONE"/>
    <n v="5"/>
    <n v="140000"/>
    <n v="140000"/>
    <n v="4"/>
    <n v="1229961.7010000001"/>
  </r>
  <r>
    <x v="392"/>
    <x v="16"/>
    <x v="17"/>
    <x v="0"/>
    <x v="9"/>
    <x v="2"/>
    <x v="1"/>
    <x v="2"/>
    <x v="6"/>
    <n v="22"/>
    <n v="324.06"/>
    <n v="0"/>
    <n v="248.25"/>
    <x v="392"/>
    <n v="1667.8200000000002"/>
    <x v="0"/>
    <s v="NONE"/>
    <n v="7"/>
    <n v="120000"/>
    <n v="120000"/>
    <n v="69"/>
    <n v="1231276.493"/>
  </r>
  <r>
    <x v="393"/>
    <x v="32"/>
    <x v="33"/>
    <x v="1"/>
    <x v="9"/>
    <x v="2"/>
    <x v="6"/>
    <x v="3"/>
    <x v="10"/>
    <n v="24"/>
    <n v="60.87"/>
    <n v="0.1"/>
    <n v="40.1"/>
    <x v="393"/>
    <n v="498.4799999999999"/>
    <x v="0"/>
    <s v="NONE"/>
    <n v="0"/>
    <n v="120000"/>
    <n v="120000"/>
    <n v="158"/>
    <n v="1232853.5630000001"/>
  </r>
  <r>
    <x v="394"/>
    <x v="308"/>
    <x v="299"/>
    <x v="2"/>
    <x v="19"/>
    <x v="4"/>
    <x v="2"/>
    <x v="2"/>
    <x v="3"/>
    <n v="9"/>
    <n v="175.23"/>
    <n v="0"/>
    <n v="96.38"/>
    <x v="394"/>
    <n v="709.65"/>
    <x v="0"/>
    <s v="NONE"/>
    <n v="3"/>
    <n v="160000"/>
    <n v="160000"/>
    <n v="145"/>
    <n v="1232910.5790000001"/>
  </r>
  <r>
    <x v="395"/>
    <x v="309"/>
    <x v="300"/>
    <x v="2"/>
    <x v="6"/>
    <x v="3"/>
    <x v="6"/>
    <x v="3"/>
    <x v="7"/>
    <n v="1"/>
    <n v="71.27"/>
    <n v="0.2"/>
    <n v="44.42"/>
    <x v="395"/>
    <n v="26.849999999999994"/>
    <x v="1"/>
    <s v="HIGH"/>
    <n v="2"/>
    <n v="150000"/>
    <n v="150000"/>
    <n v="376"/>
    <n v="1232966.3390000002"/>
  </r>
  <r>
    <x v="396"/>
    <x v="32"/>
    <x v="58"/>
    <x v="2"/>
    <x v="16"/>
    <x v="4"/>
    <x v="7"/>
    <x v="1"/>
    <x v="4"/>
    <n v="8"/>
    <n v="8.1999999999999993"/>
    <n v="0.15"/>
    <n v="5.83"/>
    <x v="396"/>
    <n v="18.959999999999994"/>
    <x v="1"/>
    <s v="HIGH"/>
    <n v="2"/>
    <n v="160000"/>
    <n v="160000"/>
    <n v="377"/>
    <n v="1248159.7550000001"/>
  </r>
  <r>
    <x v="397"/>
    <x v="310"/>
    <x v="71"/>
    <x v="2"/>
    <x v="7"/>
    <x v="1"/>
    <x v="3"/>
    <x v="0"/>
    <x v="14"/>
    <n v="21"/>
    <n v="904.37"/>
    <n v="0.2"/>
    <n v="558.17999999999995"/>
    <x v="397"/>
    <n v="7269.9900000000016"/>
    <x v="1"/>
    <s v="HIGH"/>
    <n v="2"/>
    <n v="130000"/>
    <n v="130000"/>
    <n v="16"/>
    <n v="1260139.0750000002"/>
  </r>
  <r>
    <x v="398"/>
    <x v="225"/>
    <x v="61"/>
    <x v="2"/>
    <x v="8"/>
    <x v="3"/>
    <x v="6"/>
    <x v="2"/>
    <x v="16"/>
    <n v="23"/>
    <n v="520.84"/>
    <n v="0"/>
    <n v="328.21"/>
    <x v="398"/>
    <n v="4430.4900000000016"/>
    <x v="0"/>
    <s v="NONE"/>
    <n v="2"/>
    <n v="150000"/>
    <n v="150000"/>
    <n v="33"/>
    <n v="1272885.2150000001"/>
  </r>
  <r>
    <x v="399"/>
    <x v="311"/>
    <x v="212"/>
    <x v="0"/>
    <x v="19"/>
    <x v="3"/>
    <x v="3"/>
    <x v="0"/>
    <x v="12"/>
    <n v="23"/>
    <n v="554.17999999999995"/>
    <n v="0"/>
    <n v="337.05"/>
    <x v="399"/>
    <n v="4993.9899999999989"/>
    <x v="0"/>
    <s v="NONE"/>
    <n v="5"/>
    <n v="150000"/>
    <n v="150000"/>
    <n v="29"/>
    <n v="1272885.215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3B82D-288D-4F33-A698-3E30D97BB612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22">
    <pivotField showAll="0"/>
    <pivotField showAll="0"/>
    <pivotField showAll="0"/>
    <pivotField showAll="0"/>
    <pivotField showAll="0">
      <items count="21">
        <item x="11"/>
        <item x="17"/>
        <item x="12"/>
        <item x="5"/>
        <item x="3"/>
        <item x="0"/>
        <item x="2"/>
        <item x="19"/>
        <item x="15"/>
        <item x="18"/>
        <item x="14"/>
        <item x="1"/>
        <item x="8"/>
        <item x="6"/>
        <item x="7"/>
        <item x="16"/>
        <item x="10"/>
        <item x="13"/>
        <item x="4"/>
        <item x="9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numFmtId="165" showAll="0"/>
    <pivotField numFmtId="9" showAll="0"/>
    <pivotField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2">
    <field x="7"/>
    <field x="5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F24DD-B488-412A-B18E-B4AE625028D1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F39" firstHeaderRow="1" firstDataRow="1" firstDataCol="1"/>
  <pivotFields count="22">
    <pivotField showAll="0"/>
    <pivotField showAll="0">
      <items count="313">
        <item x="154"/>
        <item x="40"/>
        <item x="239"/>
        <item x="201"/>
        <item x="21"/>
        <item x="85"/>
        <item x="163"/>
        <item x="137"/>
        <item x="139"/>
        <item x="29"/>
        <item x="34"/>
        <item x="130"/>
        <item x="173"/>
        <item x="1"/>
        <item x="294"/>
        <item x="156"/>
        <item x="263"/>
        <item x="227"/>
        <item x="229"/>
        <item x="6"/>
        <item x="11"/>
        <item x="222"/>
        <item x="285"/>
        <item x="248"/>
        <item x="126"/>
        <item x="187"/>
        <item x="115"/>
        <item x="152"/>
        <item x="213"/>
        <item x="259"/>
        <item x="107"/>
        <item x="99"/>
        <item x="78"/>
        <item x="61"/>
        <item x="216"/>
        <item x="169"/>
        <item x="3"/>
        <item x="71"/>
        <item x="193"/>
        <item x="101"/>
        <item x="210"/>
        <item x="80"/>
        <item x="10"/>
        <item x="233"/>
        <item x="262"/>
        <item x="30"/>
        <item x="81"/>
        <item x="36"/>
        <item x="133"/>
        <item x="60"/>
        <item x="26"/>
        <item x="265"/>
        <item x="215"/>
        <item x="23"/>
        <item x="182"/>
        <item x="282"/>
        <item x="186"/>
        <item x="56"/>
        <item x="149"/>
        <item x="291"/>
        <item x="95"/>
        <item x="28"/>
        <item x="228"/>
        <item x="238"/>
        <item x="17"/>
        <item x="41"/>
        <item x="120"/>
        <item x="274"/>
        <item x="100"/>
        <item x="33"/>
        <item x="73"/>
        <item x="236"/>
        <item x="171"/>
        <item x="62"/>
        <item x="225"/>
        <item x="300"/>
        <item x="249"/>
        <item x="155"/>
        <item x="18"/>
        <item x="45"/>
        <item x="268"/>
        <item x="244"/>
        <item x="97"/>
        <item x="204"/>
        <item x="279"/>
        <item x="235"/>
        <item x="202"/>
        <item x="124"/>
        <item x="135"/>
        <item x="166"/>
        <item x="77"/>
        <item x="208"/>
        <item x="111"/>
        <item x="158"/>
        <item x="108"/>
        <item x="292"/>
        <item x="58"/>
        <item x="84"/>
        <item x="302"/>
        <item x="27"/>
        <item x="113"/>
        <item x="50"/>
        <item x="48"/>
        <item x="13"/>
        <item x="196"/>
        <item x="24"/>
        <item x="43"/>
        <item x="273"/>
        <item x="79"/>
        <item x="276"/>
        <item x="310"/>
        <item x="234"/>
        <item x="12"/>
        <item x="178"/>
        <item x="52"/>
        <item x="54"/>
        <item x="68"/>
        <item x="240"/>
        <item x="93"/>
        <item x="146"/>
        <item x="309"/>
        <item x="92"/>
        <item x="255"/>
        <item x="177"/>
        <item x="241"/>
        <item x="278"/>
        <item x="303"/>
        <item x="128"/>
        <item x="148"/>
        <item x="90"/>
        <item x="123"/>
        <item x="180"/>
        <item x="232"/>
        <item x="195"/>
        <item x="134"/>
        <item x="39"/>
        <item x="184"/>
        <item x="38"/>
        <item x="223"/>
        <item x="94"/>
        <item x="296"/>
        <item x="261"/>
        <item x="96"/>
        <item x="267"/>
        <item x="295"/>
        <item x="168"/>
        <item x="280"/>
        <item x="191"/>
        <item x="281"/>
        <item x="175"/>
        <item x="8"/>
        <item x="121"/>
        <item x="250"/>
        <item x="109"/>
        <item x="44"/>
        <item x="22"/>
        <item x="5"/>
        <item x="110"/>
        <item x="91"/>
        <item x="185"/>
        <item x="286"/>
        <item x="153"/>
        <item x="9"/>
        <item x="136"/>
        <item x="270"/>
        <item x="205"/>
        <item x="301"/>
        <item x="277"/>
        <item x="200"/>
        <item x="266"/>
        <item x="35"/>
        <item x="293"/>
        <item x="15"/>
        <item x="260"/>
        <item x="51"/>
        <item x="106"/>
        <item x="70"/>
        <item x="298"/>
        <item x="287"/>
        <item x="67"/>
        <item x="251"/>
        <item x="145"/>
        <item x="20"/>
        <item x="252"/>
        <item x="257"/>
        <item x="119"/>
        <item x="199"/>
        <item x="203"/>
        <item x="31"/>
        <item x="256"/>
        <item x="179"/>
        <item x="16"/>
        <item x="83"/>
        <item x="284"/>
        <item x="69"/>
        <item x="112"/>
        <item x="304"/>
        <item x="214"/>
        <item x="269"/>
        <item x="206"/>
        <item x="75"/>
        <item x="264"/>
        <item x="297"/>
        <item x="42"/>
        <item x="104"/>
        <item x="283"/>
        <item x="271"/>
        <item x="14"/>
        <item x="37"/>
        <item x="86"/>
        <item x="55"/>
        <item x="308"/>
        <item x="131"/>
        <item x="53"/>
        <item x="49"/>
        <item x="192"/>
        <item x="253"/>
        <item x="218"/>
        <item x="105"/>
        <item x="237"/>
        <item x="103"/>
        <item x="19"/>
        <item x="207"/>
        <item x="162"/>
        <item x="118"/>
        <item x="231"/>
        <item x="307"/>
        <item x="150"/>
        <item x="167"/>
        <item x="247"/>
        <item x="46"/>
        <item x="219"/>
        <item x="311"/>
        <item x="188"/>
        <item x="165"/>
        <item x="183"/>
        <item x="59"/>
        <item x="141"/>
        <item x="32"/>
        <item x="65"/>
        <item x="164"/>
        <item x="25"/>
        <item x="66"/>
        <item x="299"/>
        <item x="157"/>
        <item x="176"/>
        <item x="143"/>
        <item x="209"/>
        <item x="170"/>
        <item x="122"/>
        <item x="190"/>
        <item x="98"/>
        <item x="4"/>
        <item x="138"/>
        <item x="160"/>
        <item x="194"/>
        <item x="2"/>
        <item x="221"/>
        <item x="306"/>
        <item x="288"/>
        <item x="132"/>
        <item x="88"/>
        <item x="189"/>
        <item x="246"/>
        <item x="72"/>
        <item x="174"/>
        <item x="129"/>
        <item x="117"/>
        <item x="114"/>
        <item x="197"/>
        <item x="245"/>
        <item x="198"/>
        <item x="226"/>
        <item x="0"/>
        <item x="305"/>
        <item x="230"/>
        <item x="87"/>
        <item x="159"/>
        <item x="147"/>
        <item x="144"/>
        <item x="243"/>
        <item x="7"/>
        <item x="116"/>
        <item x="64"/>
        <item x="76"/>
        <item x="57"/>
        <item x="258"/>
        <item x="212"/>
        <item x="224"/>
        <item x="74"/>
        <item x="125"/>
        <item x="272"/>
        <item x="82"/>
        <item x="242"/>
        <item x="151"/>
        <item x="172"/>
        <item x="289"/>
        <item x="127"/>
        <item x="102"/>
        <item x="181"/>
        <item x="217"/>
        <item x="275"/>
        <item x="254"/>
        <item x="63"/>
        <item x="161"/>
        <item x="211"/>
        <item x="89"/>
        <item x="220"/>
        <item x="142"/>
        <item x="140"/>
        <item x="47"/>
        <item x="290"/>
        <item t="default"/>
      </items>
    </pivotField>
    <pivotField showAll="0">
      <items count="302">
        <item x="156"/>
        <item x="203"/>
        <item x="22"/>
        <item x="230"/>
        <item x="195"/>
        <item x="138"/>
        <item x="84"/>
        <item x="30"/>
        <item x="35"/>
        <item x="128"/>
        <item x="172"/>
        <item x="1"/>
        <item x="182"/>
        <item x="284"/>
        <item x="251"/>
        <item x="158"/>
        <item x="217"/>
        <item x="214"/>
        <item x="6"/>
        <item x="273"/>
        <item x="12"/>
        <item x="180"/>
        <item x="236"/>
        <item x="125"/>
        <item x="116"/>
        <item x="216"/>
        <item x="154"/>
        <item x="207"/>
        <item x="106"/>
        <item x="99"/>
        <item x="60"/>
        <item x="242"/>
        <item x="80"/>
        <item x="111"/>
        <item x="78"/>
        <item x="3"/>
        <item x="219"/>
        <item x="70"/>
        <item x="101"/>
        <item x="190"/>
        <item x="274"/>
        <item x="145"/>
        <item x="81"/>
        <item x="204"/>
        <item x="10"/>
        <item x="250"/>
        <item x="224"/>
        <item x="153"/>
        <item x="31"/>
        <item x="37"/>
        <item x="59"/>
        <item x="131"/>
        <item x="253"/>
        <item x="27"/>
        <item x="134"/>
        <item x="24"/>
        <item x="269"/>
        <item x="178"/>
        <item x="54"/>
        <item x="151"/>
        <item x="280"/>
        <item x="94"/>
        <item x="29"/>
        <item x="18"/>
        <item x="40"/>
        <item x="229"/>
        <item x="276"/>
        <item x="100"/>
        <item x="73"/>
        <item x="34"/>
        <item x="228"/>
        <item x="171"/>
        <item x="61"/>
        <item x="290"/>
        <item x="237"/>
        <item x="19"/>
        <item x="157"/>
        <item x="44"/>
        <item x="255"/>
        <item x="136"/>
        <item x="96"/>
        <item x="227"/>
        <item x="261"/>
        <item x="267"/>
        <item x="133"/>
        <item x="123"/>
        <item x="77"/>
        <item x="197"/>
        <item x="108"/>
        <item x="161"/>
        <item x="112"/>
        <item x="282"/>
        <item x="57"/>
        <item x="28"/>
        <item x="114"/>
        <item x="293"/>
        <item x="159"/>
        <item x="49"/>
        <item x="218"/>
        <item x="47"/>
        <item x="14"/>
        <item x="42"/>
        <item x="25"/>
        <item x="262"/>
        <item x="264"/>
        <item x="79"/>
        <item x="71"/>
        <item x="13"/>
        <item x="175"/>
        <item x="225"/>
        <item x="51"/>
        <item x="52"/>
        <item x="286"/>
        <item x="67"/>
        <item x="91"/>
        <item x="231"/>
        <item x="147"/>
        <item x="300"/>
        <item x="295"/>
        <item x="174"/>
        <item x="90"/>
        <item x="232"/>
        <item x="243"/>
        <item x="266"/>
        <item x="126"/>
        <item x="150"/>
        <item x="88"/>
        <item x="122"/>
        <item x="223"/>
        <item x="176"/>
        <item x="137"/>
        <item x="191"/>
        <item x="132"/>
        <item x="39"/>
        <item x="179"/>
        <item x="287"/>
        <item x="249"/>
        <item x="38"/>
        <item x="92"/>
        <item x="95"/>
        <item x="143"/>
        <item x="285"/>
        <item x="256"/>
        <item x="169"/>
        <item x="187"/>
        <item x="198"/>
        <item x="173"/>
        <item x="292"/>
        <item x="238"/>
        <item x="8"/>
        <item x="23"/>
        <item x="5"/>
        <item x="43"/>
        <item x="89"/>
        <item x="196"/>
        <item x="110"/>
        <item x="275"/>
        <item x="155"/>
        <item x="9"/>
        <item x="258"/>
        <item x="135"/>
        <item x="199"/>
        <item x="291"/>
        <item x="226"/>
        <item x="254"/>
        <item x="265"/>
        <item x="16"/>
        <item x="36"/>
        <item x="50"/>
        <item x="209"/>
        <item x="248"/>
        <item x="69"/>
        <item x="105"/>
        <item x="66"/>
        <item x="289"/>
        <item x="93"/>
        <item x="21"/>
        <item x="239"/>
        <item x="120"/>
        <item x="245"/>
        <item x="32"/>
        <item x="194"/>
        <item x="55"/>
        <item x="83"/>
        <item x="244"/>
        <item x="272"/>
        <item x="68"/>
        <item x="17"/>
        <item x="294"/>
        <item x="113"/>
        <item x="222"/>
        <item x="208"/>
        <item x="257"/>
        <item x="200"/>
        <item x="288"/>
        <item x="75"/>
        <item x="271"/>
        <item x="260"/>
        <item x="41"/>
        <item x="15"/>
        <item x="85"/>
        <item x="53"/>
        <item x="129"/>
        <item x="299"/>
        <item x="48"/>
        <item x="188"/>
        <item x="252"/>
        <item x="240"/>
        <item x="211"/>
        <item x="104"/>
        <item x="20"/>
        <item x="103"/>
        <item x="201"/>
        <item x="119"/>
        <item x="165"/>
        <item x="149"/>
        <item x="221"/>
        <item x="152"/>
        <item x="298"/>
        <item x="235"/>
        <item x="168"/>
        <item x="97"/>
        <item x="45"/>
        <item x="212"/>
        <item x="183"/>
        <item x="167"/>
        <item x="33"/>
        <item x="189"/>
        <item x="58"/>
        <item x="26"/>
        <item x="141"/>
        <item x="270"/>
        <item x="281"/>
        <item x="64"/>
        <item x="160"/>
        <item x="166"/>
        <item x="65"/>
        <item x="181"/>
        <item x="202"/>
        <item x="170"/>
        <item x="144"/>
        <item x="268"/>
        <item x="121"/>
        <item x="186"/>
        <item x="98"/>
        <item x="4"/>
        <item x="139"/>
        <item x="2"/>
        <item x="163"/>
        <item x="213"/>
        <item x="277"/>
        <item x="297"/>
        <item x="86"/>
        <item x="130"/>
        <item x="184"/>
        <item x="246"/>
        <item x="234"/>
        <item x="72"/>
        <item x="109"/>
        <item x="127"/>
        <item x="115"/>
        <item x="259"/>
        <item x="118"/>
        <item x="192"/>
        <item x="193"/>
        <item x="215"/>
        <item x="11"/>
        <item x="283"/>
        <item x="0"/>
        <item x="296"/>
        <item x="220"/>
        <item x="148"/>
        <item x="162"/>
        <item x="146"/>
        <item x="63"/>
        <item x="76"/>
        <item x="117"/>
        <item x="247"/>
        <item x="7"/>
        <item x="206"/>
        <item x="56"/>
        <item x="124"/>
        <item x="82"/>
        <item x="74"/>
        <item x="233"/>
        <item x="107"/>
        <item x="278"/>
        <item x="185"/>
        <item x="102"/>
        <item x="177"/>
        <item x="210"/>
        <item x="241"/>
        <item x="263"/>
        <item x="62"/>
        <item x="164"/>
        <item x="205"/>
        <item x="87"/>
        <item x="142"/>
        <item x="140"/>
        <item x="46"/>
        <item x="279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2"/>
        <item x="0"/>
        <item x="3"/>
        <item x="1"/>
        <item x="4"/>
        <item t="default"/>
      </items>
    </pivotField>
    <pivotField showAll="0">
      <items count="9">
        <item x="4"/>
        <item x="1"/>
        <item x="3"/>
        <item x="6"/>
        <item x="5"/>
        <item x="0"/>
        <item x="2"/>
        <item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22">
        <item x="18"/>
        <item x="16"/>
        <item x="7"/>
        <item x="6"/>
        <item x="15"/>
        <item x="13"/>
        <item x="10"/>
        <item x="19"/>
        <item x="17"/>
        <item x="0"/>
        <item x="14"/>
        <item x="1"/>
        <item x="3"/>
        <item x="8"/>
        <item x="2"/>
        <item x="12"/>
        <item x="5"/>
        <item x="9"/>
        <item x="4"/>
        <item x="20"/>
        <item x="11"/>
        <item t="default"/>
      </items>
    </pivotField>
    <pivotField dataField="1" showAll="0"/>
    <pivotField numFmtId="165" showAll="0"/>
    <pivotField numFmtId="9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Quantity" fld="9" baseField="0" baseItem="0"/>
  </dataFields>
  <formats count="1">
    <format dxfId="7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778BC-49B7-472D-BC55-68699A0BB967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C2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22">
        <item x="18"/>
        <item x="16"/>
        <item x="7"/>
        <item x="6"/>
        <item x="15"/>
        <item x="13"/>
        <item x="10"/>
        <item x="19"/>
        <item x="17"/>
        <item x="0"/>
        <item x="14"/>
        <item x="1"/>
        <item x="3"/>
        <item x="8"/>
        <item x="2"/>
        <item x="12"/>
        <item x="5"/>
        <item x="9"/>
        <item x="4"/>
        <item x="20"/>
        <item x="11"/>
        <item t="default"/>
      </items>
    </pivotField>
    <pivotField showAll="0"/>
    <pivotField numFmtId="165" showAll="0"/>
    <pivotField numFmtId="9" showAll="0"/>
    <pivotField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 numFmtId="167"/>
  </dataFields>
  <formats count="1">
    <format dxfId="10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A0AB5-B6F2-4B6B-BC6E-0806F7E20691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L16" firstHeaderRow="1" firstDataRow="1" firstDataCol="1"/>
  <pivotFields count="22">
    <pivotField showAll="0"/>
    <pivotField showAll="0"/>
    <pivotField showAll="0"/>
    <pivotField showAll="0"/>
    <pivotField showAll="0"/>
    <pivotField showAll="0">
      <items count="6">
        <item x="2"/>
        <item x="0"/>
        <item x="3"/>
        <item x="1"/>
        <item x="4"/>
        <item t="default"/>
      </items>
    </pivotField>
    <pivotField axis="axisRow" showAll="0">
      <items count="9">
        <item x="4"/>
        <item x="1"/>
        <item x="3"/>
        <item x="6"/>
        <item x="5"/>
        <item x="0"/>
        <item x="2"/>
        <item x="7"/>
        <item t="default"/>
      </items>
    </pivotField>
    <pivotField showAll="0"/>
    <pivotField showAll="0">
      <items count="22">
        <item x="18"/>
        <item x="16"/>
        <item x="7"/>
        <item x="6"/>
        <item x="15"/>
        <item x="13"/>
        <item x="10"/>
        <item x="19"/>
        <item x="17"/>
        <item x="0"/>
        <item x="14"/>
        <item x="1"/>
        <item x="3"/>
        <item x="8"/>
        <item x="2"/>
        <item x="12"/>
        <item x="5"/>
        <item x="9"/>
        <item x="4"/>
        <item x="20"/>
        <item x="11"/>
        <item t="default"/>
      </items>
    </pivotField>
    <pivotField dataField="1" showAll="0"/>
    <pivotField numFmtId="165" showAll="0"/>
    <pivotField numFmtId="9" showAll="0"/>
    <pivotField showAll="0"/>
    <pivotField numFmtId="165" showAll="0">
      <items count="401">
        <item x="344"/>
        <item x="108"/>
        <item x="370"/>
        <item x="285"/>
        <item x="301"/>
        <item x="386"/>
        <item x="338"/>
        <item x="384"/>
        <item x="388"/>
        <item x="311"/>
        <item x="95"/>
        <item x="183"/>
        <item x="2"/>
        <item x="341"/>
        <item x="20"/>
        <item x="376"/>
        <item x="190"/>
        <item x="154"/>
        <item x="213"/>
        <item x="165"/>
        <item x="345"/>
        <item x="210"/>
        <item x="328"/>
        <item x="396"/>
        <item x="395"/>
        <item x="360"/>
        <item x="199"/>
        <item x="9"/>
        <item x="296"/>
        <item x="245"/>
        <item x="270"/>
        <item x="22"/>
        <item x="287"/>
        <item x="118"/>
        <item x="94"/>
        <item x="144"/>
        <item x="332"/>
        <item x="292"/>
        <item x="58"/>
        <item x="241"/>
        <item x="44"/>
        <item x="335"/>
        <item x="57"/>
        <item x="375"/>
        <item x="69"/>
        <item x="351"/>
        <item x="141"/>
        <item x="17"/>
        <item x="62"/>
        <item x="215"/>
        <item x="234"/>
        <item x="135"/>
        <item x="358"/>
        <item x="252"/>
        <item x="111"/>
        <item x="147"/>
        <item x="280"/>
        <item x="194"/>
        <item x="155"/>
        <item x="293"/>
        <item x="231"/>
        <item x="203"/>
        <item x="233"/>
        <item x="230"/>
        <item x="175"/>
        <item x="142"/>
        <item x="389"/>
        <item x="104"/>
        <item x="110"/>
        <item x="193"/>
        <item x="15"/>
        <item x="206"/>
        <item x="123"/>
        <item x="66"/>
        <item x="290"/>
        <item x="177"/>
        <item x="195"/>
        <item x="77"/>
        <item x="134"/>
        <item x="385"/>
        <item x="331"/>
        <item x="354"/>
        <item x="284"/>
        <item x="278"/>
        <item x="80"/>
        <item x="100"/>
        <item x="309"/>
        <item x="315"/>
        <item x="200"/>
        <item x="299"/>
        <item x="226"/>
        <item x="162"/>
        <item x="152"/>
        <item x="179"/>
        <item x="157"/>
        <item x="25"/>
        <item x="312"/>
        <item x="27"/>
        <item x="361"/>
        <item x="348"/>
        <item x="196"/>
        <item x="171"/>
        <item x="265"/>
        <item x="145"/>
        <item x="160"/>
        <item x="340"/>
        <item x="373"/>
        <item x="262"/>
        <item x="214"/>
        <item x="182"/>
        <item x="255"/>
        <item x="140"/>
        <item x="41"/>
        <item x="5"/>
        <item x="10"/>
        <item x="261"/>
        <item x="247"/>
        <item x="83"/>
        <item x="208"/>
        <item x="60"/>
        <item x="314"/>
        <item x="221"/>
        <item x="78"/>
        <item x="257"/>
        <item x="259"/>
        <item x="383"/>
        <item x="151"/>
        <item x="336"/>
        <item x="355"/>
        <item x="114"/>
        <item x="263"/>
        <item x="387"/>
        <item x="42"/>
        <item x="32"/>
        <item x="3"/>
        <item x="201"/>
        <item x="172"/>
        <item x="149"/>
        <item x="294"/>
        <item x="87"/>
        <item x="23"/>
        <item x="372"/>
        <item x="102"/>
        <item x="137"/>
        <item x="235"/>
        <item x="35"/>
        <item x="185"/>
        <item x="237"/>
        <item x="205"/>
        <item x="204"/>
        <item x="169"/>
        <item x="129"/>
        <item x="68"/>
        <item x="24"/>
        <item x="239"/>
        <item x="219"/>
        <item x="64"/>
        <item x="291"/>
        <item x="260"/>
        <item x="189"/>
        <item x="96"/>
        <item x="268"/>
        <item x="306"/>
        <item x="138"/>
        <item x="63"/>
        <item x="14"/>
        <item x="367"/>
        <item x="113"/>
        <item x="274"/>
        <item x="272"/>
        <item x="223"/>
        <item x="16"/>
        <item x="136"/>
        <item x="198"/>
        <item x="326"/>
        <item x="7"/>
        <item x="318"/>
        <item x="249"/>
        <item x="124"/>
        <item x="380"/>
        <item x="73"/>
        <item x="158"/>
        <item x="153"/>
        <item x="159"/>
        <item x="184"/>
        <item x="366"/>
        <item x="363"/>
        <item x="320"/>
        <item x="127"/>
        <item x="382"/>
        <item x="86"/>
        <item x="61"/>
        <item x="133"/>
        <item x="88"/>
        <item x="236"/>
        <item x="170"/>
        <item x="379"/>
        <item x="8"/>
        <item x="105"/>
        <item x="289"/>
        <item x="329"/>
        <item x="74"/>
        <item x="295"/>
        <item x="75"/>
        <item x="337"/>
        <item x="207"/>
        <item x="107"/>
        <item x="92"/>
        <item x="191"/>
        <item x="273"/>
        <item x="19"/>
        <item x="227"/>
        <item x="258"/>
        <item x="156"/>
        <item x="181"/>
        <item x="90"/>
        <item x="91"/>
        <item x="276"/>
        <item x="368"/>
        <item x="55"/>
        <item x="357"/>
        <item x="364"/>
        <item x="45"/>
        <item x="369"/>
        <item x="51"/>
        <item x="212"/>
        <item x="304"/>
        <item x="283"/>
        <item x="256"/>
        <item x="317"/>
        <item x="225"/>
        <item x="101"/>
        <item x="70"/>
        <item x="84"/>
        <item x="43"/>
        <item x="67"/>
        <item x="269"/>
        <item x="288"/>
        <item x="371"/>
        <item x="381"/>
        <item x="13"/>
        <item x="178"/>
        <item x="393"/>
        <item x="174"/>
        <item x="40"/>
        <item x="305"/>
        <item x="281"/>
        <item x="319"/>
        <item x="377"/>
        <item x="85"/>
        <item x="359"/>
        <item x="72"/>
        <item x="277"/>
        <item x="248"/>
        <item x="350"/>
        <item x="394"/>
        <item x="166"/>
        <item x="333"/>
        <item x="316"/>
        <item x="238"/>
        <item x="250"/>
        <item x="264"/>
        <item x="49"/>
        <item x="220"/>
        <item x="224"/>
        <item x="109"/>
        <item x="176"/>
        <item x="307"/>
        <item x="97"/>
        <item x="254"/>
        <item x="271"/>
        <item x="209"/>
        <item x="192"/>
        <item x="130"/>
        <item x="346"/>
        <item x="251"/>
        <item x="18"/>
        <item x="81"/>
        <item x="79"/>
        <item x="93"/>
        <item x="390"/>
        <item x="173"/>
        <item x="242"/>
        <item x="39"/>
        <item x="99"/>
        <item x="0"/>
        <item x="65"/>
        <item x="302"/>
        <item x="34"/>
        <item x="310"/>
        <item x="46"/>
        <item x="89"/>
        <item x="21"/>
        <item x="186"/>
        <item x="244"/>
        <item x="322"/>
        <item x="266"/>
        <item x="188"/>
        <item x="187"/>
        <item x="56"/>
        <item x="347"/>
        <item x="6"/>
        <item x="11"/>
        <item x="297"/>
        <item x="218"/>
        <item x="365"/>
        <item x="120"/>
        <item x="217"/>
        <item x="47"/>
        <item x="1"/>
        <item x="4"/>
        <item x="30"/>
        <item x="378"/>
        <item x="125"/>
        <item x="126"/>
        <item x="246"/>
        <item x="31"/>
        <item x="325"/>
        <item x="163"/>
        <item x="349"/>
        <item x="352"/>
        <item x="29"/>
        <item x="132"/>
        <item x="229"/>
        <item x="216"/>
        <item x="146"/>
        <item x="232"/>
        <item x="164"/>
        <item x="240"/>
        <item x="168"/>
        <item x="211"/>
        <item x="392"/>
        <item x="161"/>
        <item x="286"/>
        <item x="28"/>
        <item x="342"/>
        <item x="150"/>
        <item x="48"/>
        <item x="37"/>
        <item x="106"/>
        <item x="298"/>
        <item x="131"/>
        <item x="143"/>
        <item x="308"/>
        <item x="112"/>
        <item x="228"/>
        <item x="98"/>
        <item x="117"/>
        <item x="33"/>
        <item x="323"/>
        <item x="26"/>
        <item x="202"/>
        <item x="167"/>
        <item x="343"/>
        <item x="121"/>
        <item x="313"/>
        <item x="116"/>
        <item x="353"/>
        <item x="282"/>
        <item x="148"/>
        <item x="71"/>
        <item x="52"/>
        <item x="243"/>
        <item x="197"/>
        <item x="12"/>
        <item x="356"/>
        <item x="122"/>
        <item x="398"/>
        <item x="115"/>
        <item x="59"/>
        <item x="139"/>
        <item x="399"/>
        <item x="222"/>
        <item x="330"/>
        <item x="180"/>
        <item x="275"/>
        <item x="38"/>
        <item x="334"/>
        <item x="267"/>
        <item x="339"/>
        <item x="324"/>
        <item x="279"/>
        <item x="54"/>
        <item x="103"/>
        <item x="397"/>
        <item x="36"/>
        <item x="82"/>
        <item x="253"/>
        <item x="362"/>
        <item x="50"/>
        <item x="374"/>
        <item x="53"/>
        <item x="327"/>
        <item x="300"/>
        <item x="119"/>
        <item x="128"/>
        <item x="391"/>
        <item x="76"/>
        <item x="321"/>
        <item x="30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139B7-B14B-48D6-8271-096050E01411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I17" firstHeaderRow="1" firstDataRow="1" firstDataCol="1"/>
  <pivotFields count="22"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21">
        <item x="11"/>
        <item x="17"/>
        <item x="12"/>
        <item x="5"/>
        <item x="3"/>
        <item x="0"/>
        <item x="2"/>
        <item x="19"/>
        <item x="15"/>
        <item x="18"/>
        <item x="14"/>
        <item x="1"/>
        <item x="8"/>
        <item x="6"/>
        <item x="7"/>
        <item x="16"/>
        <item x="10"/>
        <item x="13"/>
        <item x="4"/>
        <item x="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axis="axisRow" showAll="0">
      <items count="9">
        <item x="4"/>
        <item x="1"/>
        <item x="3"/>
        <item x="6"/>
        <item x="5"/>
        <item x="0"/>
        <item x="2"/>
        <item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22">
        <item x="18"/>
        <item x="16"/>
        <item x="7"/>
        <item x="6"/>
        <item x="15"/>
        <item x="13"/>
        <item x="10"/>
        <item x="19"/>
        <item x="17"/>
        <item x="0"/>
        <item x="14"/>
        <item x="1"/>
        <item x="3"/>
        <item x="8"/>
        <item x="2"/>
        <item x="12"/>
        <item x="5"/>
        <item x="9"/>
        <item x="4"/>
        <item x="20"/>
        <item x="11"/>
        <item t="default"/>
      </items>
    </pivotField>
    <pivotField showAll="0"/>
    <pivotField numFmtId="165" showAll="0"/>
    <pivotField numFmtId="9" showAll="0"/>
    <pivotField showAll="0"/>
    <pivotField dataField="1" numFmtId="165" showAll="0"/>
    <pivotField numFmtId="165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3" baseField="0" baseItem="0" numFmtId="165"/>
  </dataFields>
  <formats count="1">
    <format dxfId="2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F14FB-1CAA-448A-8DC6-076E4F7B299F}" name="PivotTable6" cacheId="1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4:F9" firstHeaderRow="1" firstDataRow="1" firstDataCol="1"/>
  <pivotFields count="22"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21">
        <item x="11"/>
        <item x="17"/>
        <item x="12"/>
        <item x="5"/>
        <item x="3"/>
        <item x="0"/>
        <item x="2"/>
        <item x="19"/>
        <item x="15"/>
        <item x="18"/>
        <item x="14"/>
        <item x="1"/>
        <item x="8"/>
        <item x="6"/>
        <item x="7"/>
        <item x="16"/>
        <item x="10"/>
        <item x="13"/>
        <item x="4"/>
        <item x="9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22">
        <item x="18"/>
        <item x="16"/>
        <item x="7"/>
        <item x="6"/>
        <item x="15"/>
        <item x="13"/>
        <item x="10"/>
        <item x="19"/>
        <item x="17"/>
        <item x="0"/>
        <item x="14"/>
        <item x="1"/>
        <item x="3"/>
        <item x="8"/>
        <item x="2"/>
        <item x="12"/>
        <item x="5"/>
        <item x="9"/>
        <item x="4"/>
        <item x="20"/>
        <item x="11"/>
        <item t="default"/>
      </items>
    </pivotField>
    <pivotField showAll="0"/>
    <pivotField numFmtId="165" showAll="0"/>
    <pivotField numFmtId="9" showAll="0"/>
    <pivotField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 numFmtId="165"/>
  </dataFields>
  <formats count="5">
    <format dxfId="113">
      <pivotArea grandRow="1" outline="0" collapsedLevelsAreSubtotals="1" fieldPosition="0"/>
    </format>
    <format dxfId="112">
      <pivotArea collapsedLevelsAreSubtotals="1" fieldPosition="0">
        <references count="1">
          <reference field="7" count="1">
            <x v="0"/>
          </reference>
        </references>
      </pivotArea>
    </format>
    <format dxfId="111">
      <pivotArea collapsedLevelsAreSubtotals="1" fieldPosition="0">
        <references count="1">
          <reference field="7" count="1">
            <x v="1"/>
          </reference>
        </references>
      </pivotArea>
    </format>
    <format dxfId="110">
      <pivotArea collapsedLevelsAreSubtotals="1" fieldPosition="0">
        <references count="1">
          <reference field="7" count="1">
            <x v="2"/>
          </reference>
        </references>
      </pivotArea>
    </format>
    <format dxfId="109">
      <pivotArea collapsedLevelsAreSubtotals="1" fieldPosition="0">
        <references count="1"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89E3B-7C70-4E43-8355-48E4F6FB919C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numFmtId="165" showAll="0"/>
    <pivotField numFmtId="9" showAll="0"/>
    <pivotField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 numFmtId="167"/>
  </dataFields>
  <formats count="3">
    <format dxfId="19">
      <pivotArea collapsedLevelsAreSubtotals="1" fieldPosition="0">
        <references count="1">
          <reference field="5" count="0"/>
        </references>
      </pivotArea>
    </format>
    <format dxfId="20">
      <pivotArea dataOnly="0" labelOnly="1" outline="0" axis="axisValues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F0860-668E-49C6-A591-943999F67F9F}" name="Table1" displayName="Table1" ref="A1:V401" totalsRowShown="0" headerRowDxfId="132" dataDxfId="130" headerRowBorderDxfId="131" tableBorderDxfId="129" totalsRowBorderDxfId="128">
  <autoFilter ref="A1:V401" xr:uid="{BDFF0860-668E-49C6-A591-943999F67F9F}"/>
  <tableColumns count="22">
    <tableColumn id="1" xr3:uid="{3F1FACA9-4C0F-41ED-ACFD-7DD7A23F72AB}" name="Order ID" dataDxfId="127"/>
    <tableColumn id="2" xr3:uid="{D26E03C2-0E89-400A-81F2-C9A7B8DE9667}" name="Order Date" dataDxfId="126"/>
    <tableColumn id="3" xr3:uid="{26922F09-B3DE-442E-BF7A-BCAEBE3C86A3}" name="Ship Date" dataDxfId="125"/>
    <tableColumn id="4" xr3:uid="{399692F4-E0DA-494D-96DF-DDE65C6AFD0B}" name="Ship Mode" dataDxfId="124"/>
    <tableColumn id="5" xr3:uid="{52AB9D43-1239-4B0F-BA1D-DEF3D5EC3854}" name="Customer" dataDxfId="123"/>
    <tableColumn id="6" xr3:uid="{ECF70DF5-DA43-40A8-9419-4257F2DF464F}" name="Region" dataDxfId="122"/>
    <tableColumn id="7" xr3:uid="{9C806344-570B-4DD6-948C-BCE26929EB4E}" name="Sales Rep" dataDxfId="121"/>
    <tableColumn id="8" xr3:uid="{B39E32DE-3DD6-4156-B7B4-E3030520FEB0}" name="Category" dataDxfId="120"/>
    <tableColumn id="9" xr3:uid="{114B627D-0FD3-49B6-9ACD-0615BD1E6EEC}" name="Product" dataDxfId="119"/>
    <tableColumn id="10" xr3:uid="{2B85AF25-D862-48CF-BBD1-24AEABDF8279}" name="Quantity" dataDxfId="102"/>
    <tableColumn id="11" xr3:uid="{9DC71EE8-0B7D-49F2-8020-2AB71D5C2324}" name="Unit Price" dataDxfId="100" dataCellStyle="Currency"/>
    <tableColumn id="12" xr3:uid="{FD871910-8A88-4F8B-951A-06D3DA27D402}" name="Discount" dataDxfId="101" dataCellStyle="Percent"/>
    <tableColumn id="13" xr3:uid="{552D7D96-DDCA-4D45-A2A7-D4EEB25CCCA4}" name="Unit Cost" dataDxfId="107"/>
    <tableColumn id="14" xr3:uid="{3187ABF8-098C-44B9-B8B6-054AC442F778}" name="Sales" dataDxfId="106">
      <calculatedColumnFormula>(Table1[[#This Row],[Quantity]]*Table1[[#This Row],[Unit Price]])*(1-Table1[[#This Row],[Discount]])</calculatedColumnFormula>
    </tableColumn>
    <tableColumn id="15" xr3:uid="{3A8DD7CD-7E09-46F6-889A-BB1545F99736}" name="Profit" dataDxfId="104">
      <calculatedColumnFormula>(Table1[[#This Row],[Unit Price]]-Table1[[#This Row],[Unit Cost]])*Table1[[#This Row],[Quantity]]</calculatedColumnFormula>
    </tableColumn>
    <tableColumn id="16" xr3:uid="{64FFD74B-2A4B-45BD-A909-618877515724}" name="Order Type" dataDxfId="105">
      <calculatedColumnFormula>IF(J1&gt;10,"Bulk","Standard")</calculatedColumnFormula>
    </tableColumn>
    <tableColumn id="17" xr3:uid="{FAAC97CE-5DE7-438C-B7CE-4D70C2B5B03C}" name="Discount Tier" dataDxfId="118">
      <calculatedColumnFormula>IF(Table1[[#This Row],[Discount]]&gt;=15%,"HIGH",IF(Table1[[#This Row],[Discount]]&gt;=55,"MEDIUM","NONE"))</calculatedColumnFormula>
    </tableColumn>
    <tableColumn id="18" xr3:uid="{86F059CA-EBE7-463D-B4A0-4F630EF454F8}" name="Days To Ship" dataDxfId="117">
      <calculatedColumnFormula>Table1[[#This Row],[Ship Date]]-Table1[[#This Row],[Order Date]]</calculatedColumnFormula>
    </tableColumn>
    <tableColumn id="19" xr3:uid="{BE119B17-55AE-46CA-8DCA-617D957844C0}" name="Region Target" dataDxfId="116">
      <calculatedColumnFormula>VLOOKUP(Table1[[#This Row],[Region]],Table2[],2,FALSE)</calculatedColumnFormula>
    </tableColumn>
    <tableColumn id="20" xr3:uid="{168D2C7B-01A4-4D5E-B007-2EA2695D03B5}" name="Region Target Index Match" dataDxfId="115">
      <calculatedColumnFormula>INDEX(Table2[Quarterly Target],MATCH(Table1[[#This Row],[Region]],Table2[[Region ]],0))</calculatedColumnFormula>
    </tableColumn>
    <tableColumn id="21" xr3:uid="{C09EB6F0-E661-45EA-8B58-0BFF414D4AB6}" name="Rank" dataDxfId="114">
      <calculatedColumnFormula>RANK(Table1[[#This Row],[Sales]],Table1[Sales])</calculatedColumnFormula>
    </tableColumn>
    <tableColumn id="22" xr3:uid="{DFD7F348-DF19-49E4-A040-F5FF323DBC77}" name="Running Total" dataDxfId="103">
      <calculatedColumnFormula>SUM(N$2:N3)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B81B0-43C7-4440-89CA-D9FEC2F54A44}" name="Table2" displayName="Table2" ref="A1:B6" totalsRowShown="0">
  <autoFilter ref="A1:B6" xr:uid="{FB2B81B0-43C7-4440-89CA-D9FEC2F54A44}"/>
  <tableColumns count="2">
    <tableColumn id="1" xr3:uid="{5F605CE2-FBC6-4760-B238-3ADF8BC1BA4A}" name="Region "/>
    <tableColumn id="2" xr3:uid="{12DADCBB-6DE5-487F-B0E6-6B626BF77834}" name="Quarterly Targe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6BCDC7-F4F5-45EE-B99D-B6051183E8EC}" name="Table24" displayName="Table24" ref="A1:B2" totalsRowShown="0">
  <autoFilter ref="A1:B2" xr:uid="{846BCDC7-F4F5-45EE-B99D-B6051183E8EC}"/>
  <tableColumns count="2">
    <tableColumn id="1" xr3:uid="{8DB9AAB9-E20C-4976-B1CF-9E1546DFC641}" name="Average_Quantity">
      <calculatedColumnFormula>AVERAGE(Table1[Quantity])</calculatedColumnFormula>
    </tableColumn>
    <tableColumn id="2" xr3:uid="{605F7806-C718-45D6-B099-BEEDA4C6E20A}" name="Average_Unitprice">
      <calculatedColumnFormula>AVERAGE(Table1[[#This Row],[Unit Price]])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D90DDD-D538-4853-BB44-1213A097C64E}" name="Table57" displayName="Table57" ref="E1:H2" totalsRowShown="0">
  <autoFilter ref="E1:H2" xr:uid="{ACD90DDD-D538-4853-BB44-1213A097C64E}"/>
  <tableColumns count="4">
    <tableColumn id="1" xr3:uid="{3F472F8F-5E6F-434A-8610-F3512DC1CAC0}" name="Min_Quantity">
      <calculatedColumnFormula>MIN(Sales_Data!N373:N394)</calculatedColumnFormula>
    </tableColumn>
    <tableColumn id="2" xr3:uid="{867B496B-D0C9-46B0-8DD0-B7C1C8B7B645}" name="Min_Unitprice">
      <calculatedColumnFormula>MIN(Sales_Data!O373:O394)</calculatedColumnFormula>
    </tableColumn>
    <tableColumn id="3" xr3:uid="{914D9F38-780A-4DF7-AAC3-244C59BD1AB7}" name="Total_East">
      <calculatedColumnFormula array="1">SUMPRODUCT((Sales_Data!J2:J401&gt;10)*(Sales_Data!F2:F401="East")*Sales_Data!N2:N401)</calculatedColumnFormula>
    </tableColumn>
    <tableColumn id="4" xr3:uid="{44105EC7-70EA-419B-AE33-07B804695758}" name="Column1">
      <calculatedColumnFormula>SUM(Table1[Sales])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880F27-008F-4407-A6D6-B0E8EBCFF3B4}" name="Table48" displayName="Table48" ref="C1:D2" totalsRowShown="0">
  <autoFilter ref="C1:D2" xr:uid="{08880F27-008F-4407-A6D6-B0E8EBCFF3B4}"/>
  <tableColumns count="2">
    <tableColumn id="1" xr3:uid="{76FAEE95-1061-4039-91AD-8612614B2B76}" name="Max_Quantity">
      <calculatedColumnFormula>MAX(Table1[Quantity])</calculatedColumnFormula>
    </tableColumn>
    <tableColumn id="2" xr3:uid="{179D0098-3154-4F95-A341-EB380B7059D8}" name="Max_Unitprice">
      <calculatedColumnFormula>MAX(Sales_Data!M:M)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622D-2D38-4C30-B084-16985E58E317}">
  <dimension ref="A3:B28"/>
  <sheetViews>
    <sheetView topLeftCell="A2" workbookViewId="0">
      <selection activeCell="B20" sqref="B20"/>
    </sheetView>
  </sheetViews>
  <sheetFormatPr defaultRowHeight="15" x14ac:dyDescent="0.25"/>
  <cols>
    <col min="1" max="1" width="16.42578125" bestFit="1" customWidth="1"/>
    <col min="2" max="2" width="13.42578125" bestFit="1" customWidth="1"/>
  </cols>
  <sheetData>
    <row r="3" spans="1:2" x14ac:dyDescent="0.25">
      <c r="A3" s="15" t="s">
        <v>923</v>
      </c>
      <c r="B3" t="s">
        <v>925</v>
      </c>
    </row>
    <row r="4" spans="1:2" x14ac:dyDescent="0.25">
      <c r="A4" s="16" t="s">
        <v>61</v>
      </c>
      <c r="B4" s="14">
        <v>49200.861499999999</v>
      </c>
    </row>
    <row r="5" spans="1:2" x14ac:dyDescent="0.25">
      <c r="A5" s="17" t="s">
        <v>38</v>
      </c>
      <c r="B5" s="14">
        <v>10961.540499999999</v>
      </c>
    </row>
    <row r="6" spans="1:2" x14ac:dyDescent="0.25">
      <c r="A6" s="17" t="s">
        <v>18</v>
      </c>
      <c r="B6" s="14">
        <v>9324.6355000000021</v>
      </c>
    </row>
    <row r="7" spans="1:2" x14ac:dyDescent="0.25">
      <c r="A7" s="17" t="s">
        <v>43</v>
      </c>
      <c r="B7" s="14">
        <v>13302.9485</v>
      </c>
    </row>
    <row r="8" spans="1:2" x14ac:dyDescent="0.25">
      <c r="A8" s="17" t="s">
        <v>25</v>
      </c>
      <c r="B8" s="14">
        <v>8002.7729999999992</v>
      </c>
    </row>
    <row r="9" spans="1:2" x14ac:dyDescent="0.25">
      <c r="A9" s="17" t="s">
        <v>60</v>
      </c>
      <c r="B9" s="14">
        <v>7608.9640000000018</v>
      </c>
    </row>
    <row r="10" spans="1:2" x14ac:dyDescent="0.25">
      <c r="A10" s="16" t="s">
        <v>20</v>
      </c>
      <c r="B10" s="14">
        <v>693398.60849999997</v>
      </c>
    </row>
    <row r="11" spans="1:2" x14ac:dyDescent="0.25">
      <c r="A11" s="17" t="s">
        <v>38</v>
      </c>
      <c r="B11" s="14">
        <v>117282.69650000001</v>
      </c>
    </row>
    <row r="12" spans="1:2" x14ac:dyDescent="0.25">
      <c r="A12" s="17" t="s">
        <v>18</v>
      </c>
      <c r="B12" s="14">
        <v>146220.8205</v>
      </c>
    </row>
    <row r="13" spans="1:2" x14ac:dyDescent="0.25">
      <c r="A13" s="17" t="s">
        <v>43</v>
      </c>
      <c r="B13" s="14">
        <v>143115.20250000001</v>
      </c>
    </row>
    <row r="14" spans="1:2" x14ac:dyDescent="0.25">
      <c r="A14" s="17" t="s">
        <v>25</v>
      </c>
      <c r="B14" s="14">
        <v>131474.63849999997</v>
      </c>
    </row>
    <row r="15" spans="1:2" x14ac:dyDescent="0.25">
      <c r="A15" s="17" t="s">
        <v>60</v>
      </c>
      <c r="B15" s="14">
        <v>155305.25049999997</v>
      </c>
    </row>
    <row r="16" spans="1:2" x14ac:dyDescent="0.25">
      <c r="A16" s="16" t="s">
        <v>45</v>
      </c>
      <c r="B16" s="14">
        <v>500416.69</v>
      </c>
    </row>
    <row r="17" spans="1:2" x14ac:dyDescent="0.25">
      <c r="A17" s="17" t="s">
        <v>38</v>
      </c>
      <c r="B17" s="14">
        <v>78920.594500000007</v>
      </c>
    </row>
    <row r="18" spans="1:2" x14ac:dyDescent="0.25">
      <c r="A18" s="17" t="s">
        <v>18</v>
      </c>
      <c r="B18" s="14">
        <v>151013.76549999998</v>
      </c>
    </row>
    <row r="19" spans="1:2" x14ac:dyDescent="0.25">
      <c r="A19" s="17" t="s">
        <v>43</v>
      </c>
      <c r="B19" s="14">
        <v>107202.36600000001</v>
      </c>
    </row>
    <row r="20" spans="1:2" x14ac:dyDescent="0.25">
      <c r="A20" s="17" t="s">
        <v>25</v>
      </c>
      <c r="B20" s="14">
        <v>104814.6945</v>
      </c>
    </row>
    <row r="21" spans="1:2" x14ac:dyDescent="0.25">
      <c r="A21" s="17" t="s">
        <v>60</v>
      </c>
      <c r="B21" s="14">
        <v>58465.269500000002</v>
      </c>
    </row>
    <row r="22" spans="1:2" x14ac:dyDescent="0.25">
      <c r="A22" s="16" t="s">
        <v>33</v>
      </c>
      <c r="B22" s="14">
        <v>29869.055</v>
      </c>
    </row>
    <row r="23" spans="1:2" x14ac:dyDescent="0.25">
      <c r="A23" s="17" t="s">
        <v>38</v>
      </c>
      <c r="B23" s="14">
        <v>6904.0555000000022</v>
      </c>
    </row>
    <row r="24" spans="1:2" x14ac:dyDescent="0.25">
      <c r="A24" s="17" t="s">
        <v>18</v>
      </c>
      <c r="B24" s="14">
        <v>2769.5995000000003</v>
      </c>
    </row>
    <row r="25" spans="1:2" x14ac:dyDescent="0.25">
      <c r="A25" s="17" t="s">
        <v>43</v>
      </c>
      <c r="B25" s="14">
        <v>4748.5510000000004</v>
      </c>
    </row>
    <row r="26" spans="1:2" x14ac:dyDescent="0.25">
      <c r="A26" s="17" t="s">
        <v>25</v>
      </c>
      <c r="B26" s="14">
        <v>7180.6704999999993</v>
      </c>
    </row>
    <row r="27" spans="1:2" x14ac:dyDescent="0.25">
      <c r="A27" s="17" t="s">
        <v>60</v>
      </c>
      <c r="B27" s="14">
        <v>8266.1785</v>
      </c>
    </row>
    <row r="28" spans="1:2" x14ac:dyDescent="0.25">
      <c r="A28" s="16" t="s">
        <v>924</v>
      </c>
      <c r="B28" s="14">
        <v>1272885.2149999999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98DC-6FFD-4A10-B532-C903637B1F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C913-2282-49DB-A674-664638143602}">
  <dimension ref="A1:L39"/>
  <sheetViews>
    <sheetView workbookViewId="0">
      <selection activeCell="I13" sqref="I1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2.140625" bestFit="1" customWidth="1"/>
    <col min="5" max="5" width="13.28515625" bestFit="1" customWidth="1"/>
    <col min="6" max="6" width="15.42578125" bestFit="1" customWidth="1"/>
    <col min="7" max="7" width="10.5703125" bestFit="1" customWidth="1"/>
    <col min="8" max="8" width="13.140625" bestFit="1" customWidth="1"/>
    <col min="9" max="9" width="12.28515625" bestFit="1" customWidth="1"/>
    <col min="10" max="10" width="15.85546875" bestFit="1" customWidth="1"/>
    <col min="11" max="11" width="13.140625" bestFit="1" customWidth="1"/>
    <col min="12" max="13" width="15.42578125" bestFit="1" customWidth="1"/>
  </cols>
  <sheetData>
    <row r="1" spans="1:12" x14ac:dyDescent="0.25">
      <c r="A1" s="15" t="s">
        <v>923</v>
      </c>
      <c r="B1" s="14" t="s">
        <v>925</v>
      </c>
    </row>
    <row r="2" spans="1:12" x14ac:dyDescent="0.25">
      <c r="A2" s="16" t="s">
        <v>38</v>
      </c>
      <c r="B2" s="18">
        <v>214068.88699999996</v>
      </c>
    </row>
    <row r="3" spans="1:12" x14ac:dyDescent="0.25">
      <c r="A3" s="16" t="s">
        <v>18</v>
      </c>
      <c r="B3" s="18">
        <v>309328.82099999994</v>
      </c>
    </row>
    <row r="4" spans="1:12" x14ac:dyDescent="0.25">
      <c r="A4" s="16" t="s">
        <v>43</v>
      </c>
      <c r="B4" s="18">
        <v>268369.06800000009</v>
      </c>
      <c r="E4" s="15" t="s">
        <v>923</v>
      </c>
      <c r="F4" t="s">
        <v>925</v>
      </c>
    </row>
    <row r="5" spans="1:12" x14ac:dyDescent="0.25">
      <c r="A5" s="16" t="s">
        <v>25</v>
      </c>
      <c r="B5" s="18">
        <v>251472.77650000001</v>
      </c>
      <c r="E5" s="16" t="s">
        <v>61</v>
      </c>
      <c r="F5" s="18">
        <v>49200.861499999999</v>
      </c>
    </row>
    <row r="6" spans="1:12" x14ac:dyDescent="0.25">
      <c r="A6" s="16" t="s">
        <v>60</v>
      </c>
      <c r="B6" s="18">
        <v>229645.66249999998</v>
      </c>
      <c r="E6" s="16" t="s">
        <v>20</v>
      </c>
      <c r="F6" s="18">
        <v>693398.60849999997</v>
      </c>
    </row>
    <row r="7" spans="1:12" x14ac:dyDescent="0.25">
      <c r="A7" s="16" t="s">
        <v>924</v>
      </c>
      <c r="B7" s="18">
        <v>1272885.2149999999</v>
      </c>
      <c r="E7" s="16" t="s">
        <v>45</v>
      </c>
      <c r="F7" s="18">
        <v>500416.69000000006</v>
      </c>
      <c r="K7" s="15" t="s">
        <v>923</v>
      </c>
      <c r="L7" t="s">
        <v>926</v>
      </c>
    </row>
    <row r="8" spans="1:12" x14ac:dyDescent="0.25">
      <c r="E8" s="16" t="s">
        <v>33</v>
      </c>
      <c r="F8" s="18">
        <v>29869.055000000011</v>
      </c>
      <c r="H8" s="15" t="s">
        <v>923</v>
      </c>
      <c r="I8" t="s">
        <v>925</v>
      </c>
      <c r="K8" s="16" t="s">
        <v>50</v>
      </c>
      <c r="L8" s="19">
        <v>712</v>
      </c>
    </row>
    <row r="9" spans="1:12" x14ac:dyDescent="0.25">
      <c r="E9" s="16" t="s">
        <v>924</v>
      </c>
      <c r="F9" s="18">
        <v>1272885.2150000001</v>
      </c>
      <c r="H9" s="16" t="s">
        <v>50</v>
      </c>
      <c r="I9" s="14">
        <v>153397.67500000002</v>
      </c>
      <c r="K9" s="16" t="s">
        <v>26</v>
      </c>
      <c r="L9" s="19">
        <v>812</v>
      </c>
    </row>
    <row r="10" spans="1:12" x14ac:dyDescent="0.25">
      <c r="H10" s="16" t="s">
        <v>26</v>
      </c>
      <c r="I10" s="14">
        <v>196994.54499999998</v>
      </c>
      <c r="K10" s="16" t="s">
        <v>44</v>
      </c>
      <c r="L10" s="19">
        <v>567</v>
      </c>
    </row>
    <row r="11" spans="1:12" x14ac:dyDescent="0.25">
      <c r="H11" s="16" t="s">
        <v>44</v>
      </c>
      <c r="I11" s="14">
        <v>141663.85550000001</v>
      </c>
      <c r="K11" s="16" t="s">
        <v>82</v>
      </c>
      <c r="L11" s="19">
        <v>609</v>
      </c>
    </row>
    <row r="12" spans="1:12" x14ac:dyDescent="0.25">
      <c r="H12" s="16" t="s">
        <v>82</v>
      </c>
      <c r="I12" s="14">
        <v>127303.11349999999</v>
      </c>
      <c r="K12" s="16" t="s">
        <v>67</v>
      </c>
      <c r="L12" s="19">
        <v>561</v>
      </c>
    </row>
    <row r="13" spans="1:12" x14ac:dyDescent="0.25">
      <c r="H13" s="16" t="s">
        <v>67</v>
      </c>
      <c r="I13" s="14">
        <v>122292.9295</v>
      </c>
      <c r="K13" s="16" t="s">
        <v>19</v>
      </c>
      <c r="L13" s="19">
        <v>593</v>
      </c>
    </row>
    <row r="14" spans="1:12" x14ac:dyDescent="0.25">
      <c r="H14" s="16" t="s">
        <v>19</v>
      </c>
      <c r="I14" s="14">
        <v>146719.7905</v>
      </c>
      <c r="K14" s="16" t="s">
        <v>32</v>
      </c>
      <c r="L14" s="19">
        <v>746</v>
      </c>
    </row>
    <row r="15" spans="1:12" x14ac:dyDescent="0.25">
      <c r="H15" s="16" t="s">
        <v>32</v>
      </c>
      <c r="I15" s="14">
        <v>221009.89850000001</v>
      </c>
      <c r="K15" s="16" t="s">
        <v>97</v>
      </c>
      <c r="L15" s="19">
        <v>589</v>
      </c>
    </row>
    <row r="16" spans="1:12" x14ac:dyDescent="0.25">
      <c r="H16" s="16" t="s">
        <v>97</v>
      </c>
      <c r="I16" s="14">
        <v>163503.40750000003</v>
      </c>
      <c r="K16" s="16" t="s">
        <v>924</v>
      </c>
      <c r="L16" s="19">
        <v>5189</v>
      </c>
    </row>
    <row r="17" spans="2:9" x14ac:dyDescent="0.25">
      <c r="B17" s="15" t="s">
        <v>923</v>
      </c>
      <c r="C17" t="s">
        <v>925</v>
      </c>
      <c r="E17" s="15" t="s">
        <v>923</v>
      </c>
      <c r="F17" t="s">
        <v>926</v>
      </c>
      <c r="H17" s="16" t="s">
        <v>924</v>
      </c>
      <c r="I17" s="18">
        <v>1272885.2150000001</v>
      </c>
    </row>
    <row r="18" spans="2:9" x14ac:dyDescent="0.25">
      <c r="B18" s="16" t="s">
        <v>61</v>
      </c>
      <c r="C18" s="18">
        <v>49200.861499999999</v>
      </c>
      <c r="E18" s="16" t="s">
        <v>153</v>
      </c>
      <c r="F18" s="19">
        <v>239</v>
      </c>
    </row>
    <row r="19" spans="2:9" x14ac:dyDescent="0.25">
      <c r="B19" s="16" t="s">
        <v>20</v>
      </c>
      <c r="C19" s="18">
        <v>693398.60849999997</v>
      </c>
      <c r="E19" s="16" t="s">
        <v>148</v>
      </c>
      <c r="F19" s="19">
        <v>317</v>
      </c>
    </row>
    <row r="20" spans="2:9" x14ac:dyDescent="0.25">
      <c r="B20" s="16" t="s">
        <v>45</v>
      </c>
      <c r="C20" s="18">
        <v>500416.69000000006</v>
      </c>
      <c r="E20" s="16" t="s">
        <v>72</v>
      </c>
      <c r="F20" s="19">
        <v>215</v>
      </c>
    </row>
    <row r="21" spans="2:9" x14ac:dyDescent="0.25">
      <c r="B21" s="16" t="s">
        <v>33</v>
      </c>
      <c r="C21" s="18">
        <v>29869.055000000011</v>
      </c>
      <c r="E21" s="16" t="s">
        <v>68</v>
      </c>
      <c r="F21" s="19">
        <v>247</v>
      </c>
    </row>
    <row r="22" spans="2:9" x14ac:dyDescent="0.25">
      <c r="B22" s="16" t="s">
        <v>924</v>
      </c>
      <c r="C22" s="18">
        <v>1272885.2150000001</v>
      </c>
      <c r="E22" s="16" t="s">
        <v>143</v>
      </c>
      <c r="F22" s="19">
        <v>271</v>
      </c>
    </row>
    <row r="23" spans="2:9" x14ac:dyDescent="0.25">
      <c r="E23" s="16" t="s">
        <v>134</v>
      </c>
      <c r="F23" s="19">
        <v>214</v>
      </c>
    </row>
    <row r="24" spans="2:9" x14ac:dyDescent="0.25">
      <c r="E24" s="16" t="s">
        <v>88</v>
      </c>
      <c r="F24" s="19">
        <v>227</v>
      </c>
    </row>
    <row r="25" spans="2:9" x14ac:dyDescent="0.25">
      <c r="E25" s="16" t="s">
        <v>169</v>
      </c>
      <c r="F25" s="19">
        <v>250</v>
      </c>
    </row>
    <row r="26" spans="2:9" x14ac:dyDescent="0.25">
      <c r="E26" s="16" t="s">
        <v>151</v>
      </c>
      <c r="F26" s="19">
        <v>142</v>
      </c>
    </row>
    <row r="27" spans="2:9" x14ac:dyDescent="0.25">
      <c r="E27" s="16" t="s">
        <v>21</v>
      </c>
      <c r="F27" s="19">
        <v>222</v>
      </c>
    </row>
    <row r="28" spans="2:9" x14ac:dyDescent="0.25">
      <c r="E28" s="16" t="s">
        <v>139</v>
      </c>
      <c r="F28" s="19">
        <v>215</v>
      </c>
    </row>
    <row r="29" spans="2:9" x14ac:dyDescent="0.25">
      <c r="E29" s="16" t="s">
        <v>34</v>
      </c>
      <c r="F29" s="19">
        <v>319</v>
      </c>
    </row>
    <row r="30" spans="2:9" x14ac:dyDescent="0.25">
      <c r="E30" s="16" t="s">
        <v>46</v>
      </c>
      <c r="F30" s="19">
        <v>233</v>
      </c>
    </row>
    <row r="31" spans="2:9" x14ac:dyDescent="0.25">
      <c r="E31" s="16" t="s">
        <v>76</v>
      </c>
      <c r="F31" s="19">
        <v>284</v>
      </c>
    </row>
    <row r="32" spans="2:9" x14ac:dyDescent="0.25">
      <c r="E32" s="16" t="s">
        <v>39</v>
      </c>
      <c r="F32" s="19">
        <v>374</v>
      </c>
    </row>
    <row r="33" spans="5:6" x14ac:dyDescent="0.25">
      <c r="E33" s="16" t="s">
        <v>113</v>
      </c>
      <c r="F33" s="19">
        <v>126</v>
      </c>
    </row>
    <row r="34" spans="5:6" x14ac:dyDescent="0.25">
      <c r="E34" s="16" t="s">
        <v>62</v>
      </c>
      <c r="F34" s="19">
        <v>269</v>
      </c>
    </row>
    <row r="35" spans="5:6" x14ac:dyDescent="0.25">
      <c r="E35" s="16" t="s">
        <v>83</v>
      </c>
      <c r="F35" s="19">
        <v>226</v>
      </c>
    </row>
    <row r="36" spans="5:6" x14ac:dyDescent="0.25">
      <c r="E36" s="16" t="s">
        <v>51</v>
      </c>
      <c r="F36" s="19">
        <v>374</v>
      </c>
    </row>
    <row r="37" spans="5:6" x14ac:dyDescent="0.25">
      <c r="E37" s="16" t="s">
        <v>192</v>
      </c>
      <c r="F37" s="19">
        <v>214</v>
      </c>
    </row>
    <row r="38" spans="5:6" x14ac:dyDescent="0.25">
      <c r="E38" s="16" t="s">
        <v>106</v>
      </c>
      <c r="F38" s="19">
        <v>211</v>
      </c>
    </row>
    <row r="39" spans="5:6" x14ac:dyDescent="0.25">
      <c r="E39" s="16" t="s">
        <v>924</v>
      </c>
      <c r="F39" s="18">
        <v>5189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1"/>
  <sheetViews>
    <sheetView tabSelected="1" zoomScaleNormal="100" workbookViewId="0">
      <pane ySplit="1" topLeftCell="A2" activePane="bottomLeft" state="frozen"/>
      <selection pane="bottomLeft" activeCell="X2" sqref="X2"/>
    </sheetView>
  </sheetViews>
  <sheetFormatPr defaultColWidth="8.7109375" defaultRowHeight="15" x14ac:dyDescent="0.25"/>
  <cols>
    <col min="1" max="1" width="14.5703125" bestFit="1" customWidth="1"/>
    <col min="2" max="2" width="17.140625" bestFit="1" customWidth="1"/>
    <col min="3" max="3" width="15.85546875" bestFit="1" customWidth="1"/>
    <col min="4" max="4" width="16.5703125" bestFit="1" customWidth="1"/>
    <col min="5" max="5" width="18.140625" bestFit="1" customWidth="1"/>
    <col min="6" max="6" width="15.140625" bestFit="1" customWidth="1"/>
    <col min="7" max="7" width="16.28515625" bestFit="1" customWidth="1"/>
    <col min="8" max="8" width="15.42578125" bestFit="1" customWidth="1"/>
    <col min="9" max="9" width="14.28515625" bestFit="1" customWidth="1"/>
    <col min="10" max="10" width="14.5703125" bestFit="1" customWidth="1"/>
    <col min="11" max="11" width="16" bestFit="1" customWidth="1"/>
    <col min="12" max="12" width="15.140625" bestFit="1" customWidth="1"/>
    <col min="13" max="13" width="15.28515625" bestFit="1" customWidth="1"/>
    <col min="14" max="14" width="12" bestFit="1" customWidth="1"/>
    <col min="15" max="15" width="11.85546875" bestFit="1" customWidth="1"/>
    <col min="16" max="16" width="17.28515625" bestFit="1" customWidth="1"/>
    <col min="17" max="17" width="19.5703125" bestFit="1" customWidth="1"/>
    <col min="18" max="18" width="19.140625" bestFit="1" customWidth="1"/>
    <col min="19" max="19" width="20.28515625" bestFit="1" customWidth="1"/>
    <col min="20" max="20" width="33.5703125" bestFit="1" customWidth="1"/>
    <col min="21" max="21" width="11.5703125" bestFit="1" customWidth="1"/>
    <col min="22" max="22" width="20" bestFit="1" customWidth="1"/>
    <col min="24" max="24" width="13.5703125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3" t="s">
        <v>10</v>
      </c>
      <c r="L1" s="2" t="s">
        <v>11</v>
      </c>
      <c r="M1" s="3" t="s">
        <v>12</v>
      </c>
      <c r="N1" s="4" t="s">
        <v>904</v>
      </c>
      <c r="O1" s="2" t="s">
        <v>905</v>
      </c>
      <c r="P1" s="2" t="s">
        <v>906</v>
      </c>
      <c r="Q1" s="2" t="s">
        <v>907</v>
      </c>
      <c r="R1" s="2" t="s">
        <v>908</v>
      </c>
      <c r="S1" s="2" t="s">
        <v>915</v>
      </c>
      <c r="T1" s="2" t="s">
        <v>918</v>
      </c>
      <c r="U1" s="2" t="s">
        <v>920</v>
      </c>
      <c r="V1" s="23" t="s">
        <v>922</v>
      </c>
    </row>
    <row r="2" spans="1:24" x14ac:dyDescent="0.25">
      <c r="A2" s="5" t="s">
        <v>13</v>
      </c>
      <c r="B2" s="6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>
        <v>24</v>
      </c>
      <c r="K2" s="24">
        <v>167.87</v>
      </c>
      <c r="L2" s="8">
        <v>0.15</v>
      </c>
      <c r="M2" s="20">
        <v>129.77000000000001</v>
      </c>
      <c r="N2" s="21">
        <f>(Table1[[#This Row],[Quantity]]*Table1[[#This Row],[Unit Price]])*(1-Table1[[#This Row],[Discount]])</f>
        <v>3424.5480000000002</v>
      </c>
      <c r="O2" s="21">
        <f>(Table1[[#This Row],[Unit Price]]-Table1[[#This Row],[Unit Cost]])*Table1[[#This Row],[Quantity]]</f>
        <v>914.39999999999986</v>
      </c>
      <c r="P2" s="9" t="str">
        <f t="shared" ref="P2:P65" si="0">IF(J1&gt;10,"Bulk","Standard")</f>
        <v>Bulk</v>
      </c>
      <c r="Q2" s="9" t="str">
        <f>IF(Table1[[#This Row],[Discount]]&gt;=15%,"HIGH",IF(Table1[[#This Row],[Discount]]&gt;=55,"MEDIUM","NONE"))</f>
        <v>HIGH</v>
      </c>
      <c r="R2" s="9">
        <f>Table1[[#This Row],[Ship Date]]-Table1[[#This Row],[Order Date]]</f>
        <v>4</v>
      </c>
      <c r="S2" s="9">
        <f>VLOOKUP(Table1[[#This Row],[Region]],Table2[],2,FALSE)</f>
        <v>140000</v>
      </c>
      <c r="T2" s="9">
        <f>INDEX(Table2[Quarterly Target],MATCH(Table1[[#This Row],[Region]],Table2[[Region ]],0))</f>
        <v>140000</v>
      </c>
      <c r="U2" s="9">
        <f>RANK(Table1[[#This Row],[Sales]],Table1[Sales])</f>
        <v>115</v>
      </c>
      <c r="V2" s="21">
        <f>SUM(N$2:N3)</f>
        <v>8621.396999999999</v>
      </c>
      <c r="X2" s="18"/>
    </row>
    <row r="3" spans="1:24" x14ac:dyDescent="0.25">
      <c r="A3" s="5" t="s">
        <v>22</v>
      </c>
      <c r="B3" s="6" t="s">
        <v>23</v>
      </c>
      <c r="C3" s="6" t="s">
        <v>23</v>
      </c>
      <c r="D3" s="7" t="s">
        <v>24</v>
      </c>
      <c r="E3" s="7" t="s">
        <v>17</v>
      </c>
      <c r="F3" s="7" t="s">
        <v>25</v>
      </c>
      <c r="G3" s="7" t="s">
        <v>26</v>
      </c>
      <c r="H3" s="7" t="s">
        <v>20</v>
      </c>
      <c r="I3" s="7" t="s">
        <v>21</v>
      </c>
      <c r="J3" s="7">
        <v>7</v>
      </c>
      <c r="K3" s="24">
        <v>873.42</v>
      </c>
      <c r="L3" s="8">
        <v>0.15</v>
      </c>
      <c r="M3" s="20">
        <v>599.37</v>
      </c>
      <c r="N3" s="21">
        <f>(Table1[[#This Row],[Quantity]]*Table1[[#This Row],[Unit Price]])*(1-Table1[[#This Row],[Discount]])</f>
        <v>5196.8489999999993</v>
      </c>
      <c r="O3" s="21">
        <f>(Table1[[#This Row],[Unit Price]]-Table1[[#This Row],[Unit Cost]])*Table1[[#This Row],[Quantity]]</f>
        <v>1918.3499999999997</v>
      </c>
      <c r="P3" s="9" t="str">
        <f t="shared" si="0"/>
        <v>Bulk</v>
      </c>
      <c r="Q3" s="9" t="str">
        <f>IF(Table1[[#This Row],[Discount]]&gt;=15%,"HIGH",IF(Table1[[#This Row],[Discount]]&gt;=55,"MEDIUM","NONE"))</f>
        <v>HIGH</v>
      </c>
      <c r="R3" s="9">
        <f>Table1[[#This Row],[Ship Date]]-Table1[[#This Row],[Order Date]]</f>
        <v>0</v>
      </c>
      <c r="S3" s="9">
        <f>VLOOKUP(Table1[[#This Row],[Region]],Table2[],2,FALSE)</f>
        <v>130000</v>
      </c>
      <c r="T3" s="9">
        <f>INDEX(Table2[Quarterly Target],MATCH(Table1[[#This Row],[Region]],Table2[[Region ]],0))</f>
        <v>130000</v>
      </c>
      <c r="U3" s="9">
        <f>RANK(Table1[[#This Row],[Sales]],Table1[Sales])</f>
        <v>91</v>
      </c>
      <c r="V3" s="21">
        <f>SUM(N$2:N4)</f>
        <v>8662.1169999999984</v>
      </c>
    </row>
    <row r="4" spans="1:24" x14ac:dyDescent="0.25">
      <c r="A4" s="5" t="s">
        <v>27</v>
      </c>
      <c r="B4" s="6" t="s">
        <v>28</v>
      </c>
      <c r="C4" s="6" t="s">
        <v>29</v>
      </c>
      <c r="D4" s="7" t="s">
        <v>30</v>
      </c>
      <c r="E4" s="7" t="s">
        <v>31</v>
      </c>
      <c r="F4" s="7" t="s">
        <v>25</v>
      </c>
      <c r="G4" s="7" t="s">
        <v>32</v>
      </c>
      <c r="H4" s="7" t="s">
        <v>33</v>
      </c>
      <c r="I4" s="7" t="s">
        <v>34</v>
      </c>
      <c r="J4" s="7">
        <v>5</v>
      </c>
      <c r="K4" s="24">
        <v>10.18</v>
      </c>
      <c r="L4" s="8">
        <v>0.2</v>
      </c>
      <c r="M4" s="20">
        <v>6.46</v>
      </c>
      <c r="N4" s="21">
        <f>(Table1[[#This Row],[Quantity]]*Table1[[#This Row],[Unit Price]])*(1-Table1[[#This Row],[Discount]])</f>
        <v>40.72</v>
      </c>
      <c r="O4" s="21">
        <f>(Table1[[#This Row],[Unit Price]]-Table1[[#This Row],[Unit Cost]])*Table1[[#This Row],[Quantity]]</f>
        <v>18.599999999999998</v>
      </c>
      <c r="P4" s="9" t="str">
        <f t="shared" si="0"/>
        <v>Standard</v>
      </c>
      <c r="Q4" s="9" t="str">
        <f>IF(Table1[[#This Row],[Discount]]&gt;=15%,"HIGH",IF(Table1[[#This Row],[Discount]]&gt;=55,"MEDIUM","NONE"))</f>
        <v>HIGH</v>
      </c>
      <c r="R4" s="9">
        <f>Table1[[#This Row],[Ship Date]]-Table1[[#This Row],[Order Date]]</f>
        <v>3</v>
      </c>
      <c r="S4" s="9">
        <f>VLOOKUP(Table1[[#This Row],[Region]],Table2[],2,FALSE)</f>
        <v>130000</v>
      </c>
      <c r="T4" s="9">
        <f>INDEX(Table2[Quarterly Target],MATCH(Table1[[#This Row],[Region]],Table2[[Region ]],0))</f>
        <v>130000</v>
      </c>
      <c r="U4" s="9">
        <f>RANK(Table1[[#This Row],[Sales]],Table1[Sales])</f>
        <v>388</v>
      </c>
      <c r="V4" s="21">
        <f>SUM(N$2:N5)</f>
        <v>8981.0319999999992</v>
      </c>
    </row>
    <row r="5" spans="1:24" x14ac:dyDescent="0.25">
      <c r="A5" s="5" t="s">
        <v>35</v>
      </c>
      <c r="B5" s="6" t="s">
        <v>36</v>
      </c>
      <c r="C5" s="6" t="s">
        <v>36</v>
      </c>
      <c r="D5" s="7" t="s">
        <v>24</v>
      </c>
      <c r="E5" s="7" t="s">
        <v>37</v>
      </c>
      <c r="F5" s="7" t="s">
        <v>38</v>
      </c>
      <c r="G5" s="7" t="s">
        <v>26</v>
      </c>
      <c r="H5" s="7" t="s">
        <v>33</v>
      </c>
      <c r="I5" s="7" t="s">
        <v>39</v>
      </c>
      <c r="J5" s="7">
        <v>15</v>
      </c>
      <c r="K5" s="24">
        <v>22.38</v>
      </c>
      <c r="L5" s="8">
        <v>0.05</v>
      </c>
      <c r="M5" s="20">
        <v>12.75</v>
      </c>
      <c r="N5" s="21">
        <f>(Table1[[#This Row],[Quantity]]*Table1[[#This Row],[Unit Price]])*(1-Table1[[#This Row],[Discount]])</f>
        <v>318.91499999999996</v>
      </c>
      <c r="O5" s="21">
        <f>(Table1[[#This Row],[Unit Price]]-Table1[[#This Row],[Unit Cost]])*Table1[[#This Row],[Quantity]]</f>
        <v>144.44999999999999</v>
      </c>
      <c r="P5" s="9" t="str">
        <f t="shared" si="0"/>
        <v>Standard</v>
      </c>
      <c r="Q5" s="9" t="str">
        <f>IF(Table1[[#This Row],[Discount]]&gt;=15%,"HIGH",IF(Table1[[#This Row],[Discount]]&gt;=55,"MEDIUM","NONE"))</f>
        <v>NONE</v>
      </c>
      <c r="R5" s="9">
        <f>Table1[[#This Row],[Ship Date]]-Table1[[#This Row],[Order Date]]</f>
        <v>0</v>
      </c>
      <c r="S5" s="9">
        <f>VLOOKUP(Table1[[#This Row],[Region]],Table2[],2,FALSE)</f>
        <v>120000</v>
      </c>
      <c r="T5" s="9">
        <f>INDEX(Table2[Quarterly Target],MATCH(Table1[[#This Row],[Region]],Table2[[Region ]],0))</f>
        <v>120000</v>
      </c>
      <c r="U5" s="9">
        <f>RANK(Table1[[#This Row],[Sales]],Table1[Sales])</f>
        <v>266</v>
      </c>
      <c r="V5" s="21">
        <f>SUM(N$2:N6)</f>
        <v>14310.151999999998</v>
      </c>
    </row>
    <row r="6" spans="1:24" x14ac:dyDescent="0.25">
      <c r="A6" s="5" t="s">
        <v>40</v>
      </c>
      <c r="B6" s="6" t="s">
        <v>41</v>
      </c>
      <c r="C6" s="6" t="s">
        <v>42</v>
      </c>
      <c r="D6" s="7" t="s">
        <v>16</v>
      </c>
      <c r="E6" s="7" t="s">
        <v>17</v>
      </c>
      <c r="F6" s="7" t="s">
        <v>43</v>
      </c>
      <c r="G6" s="7" t="s">
        <v>44</v>
      </c>
      <c r="H6" s="7" t="s">
        <v>45</v>
      </c>
      <c r="I6" s="7" t="s">
        <v>46</v>
      </c>
      <c r="J6" s="7">
        <v>8</v>
      </c>
      <c r="K6" s="24">
        <v>701.2</v>
      </c>
      <c r="L6" s="8">
        <v>0.05</v>
      </c>
      <c r="M6" s="20">
        <v>434.39</v>
      </c>
      <c r="N6" s="21">
        <f>(Table1[[#This Row],[Quantity]]*Table1[[#This Row],[Unit Price]])*(1-Table1[[#This Row],[Discount]])</f>
        <v>5329.12</v>
      </c>
      <c r="O6" s="21">
        <f>(Table1[[#This Row],[Unit Price]]-Table1[[#This Row],[Unit Cost]])*Table1[[#This Row],[Quantity]]</f>
        <v>2134.4800000000005</v>
      </c>
      <c r="P6" s="9" t="str">
        <f t="shared" si="0"/>
        <v>Bulk</v>
      </c>
      <c r="Q6" s="9" t="str">
        <f>IF(Table1[[#This Row],[Discount]]&gt;=15%,"HIGH",IF(Table1[[#This Row],[Discount]]&gt;=55,"MEDIUM","NONE"))</f>
        <v>NONE</v>
      </c>
      <c r="R6" s="9">
        <f>Table1[[#This Row],[Ship Date]]-Table1[[#This Row],[Order Date]]</f>
        <v>6</v>
      </c>
      <c r="S6" s="9">
        <f>VLOOKUP(Table1[[#This Row],[Region]],Table2[],2,FALSE)</f>
        <v>150000</v>
      </c>
      <c r="T6" s="9">
        <f>INDEX(Table2[Quarterly Target],MATCH(Table1[[#This Row],[Region]],Table2[[Region ]],0))</f>
        <v>150000</v>
      </c>
      <c r="U6" s="9">
        <f>RANK(Table1[[#This Row],[Sales]],Table1[Sales])</f>
        <v>90</v>
      </c>
      <c r="V6" s="21">
        <f>SUM(N$2:N7)</f>
        <v>14567.791999999998</v>
      </c>
    </row>
    <row r="7" spans="1:24" x14ac:dyDescent="0.25">
      <c r="A7" s="5" t="s">
        <v>47</v>
      </c>
      <c r="B7" s="6" t="s">
        <v>48</v>
      </c>
      <c r="C7" s="6" t="s">
        <v>48</v>
      </c>
      <c r="D7" s="7" t="s">
        <v>24</v>
      </c>
      <c r="E7" s="7" t="s">
        <v>49</v>
      </c>
      <c r="F7" s="7" t="s">
        <v>18</v>
      </c>
      <c r="G7" s="7" t="s">
        <v>50</v>
      </c>
      <c r="H7" s="7" t="s">
        <v>33</v>
      </c>
      <c r="I7" s="7" t="s">
        <v>51</v>
      </c>
      <c r="J7" s="7">
        <v>24</v>
      </c>
      <c r="K7" s="24">
        <v>11.3</v>
      </c>
      <c r="L7" s="8">
        <v>0.05</v>
      </c>
      <c r="M7" s="20">
        <v>7.29</v>
      </c>
      <c r="N7" s="21">
        <f>(Table1[[#This Row],[Quantity]]*Table1[[#This Row],[Unit Price]])*(1-Table1[[#This Row],[Discount]])</f>
        <v>257.64000000000004</v>
      </c>
      <c r="O7" s="21">
        <f>(Table1[[#This Row],[Unit Price]]-Table1[[#This Row],[Unit Cost]])*Table1[[#This Row],[Quantity]]</f>
        <v>96.240000000000009</v>
      </c>
      <c r="P7" s="9" t="str">
        <f t="shared" si="0"/>
        <v>Standard</v>
      </c>
      <c r="Q7" s="9" t="str">
        <f>IF(Table1[[#This Row],[Discount]]&gt;=15%,"HIGH",IF(Table1[[#This Row],[Discount]]&gt;=55,"MEDIUM","NONE"))</f>
        <v>NONE</v>
      </c>
      <c r="R7" s="9">
        <f>Table1[[#This Row],[Ship Date]]-Table1[[#This Row],[Order Date]]</f>
        <v>0</v>
      </c>
      <c r="S7" s="9">
        <f>VLOOKUP(Table1[[#This Row],[Region]],Table2[],2,FALSE)</f>
        <v>140000</v>
      </c>
      <c r="T7" s="9">
        <f>INDEX(Table2[Quarterly Target],MATCH(Table1[[#This Row],[Region]],Table2[[Region ]],0))</f>
        <v>140000</v>
      </c>
      <c r="U7" s="9">
        <f>RANK(Table1[[#This Row],[Sales]],Table1[Sales])</f>
        <v>287</v>
      </c>
      <c r="V7" s="21">
        <f>SUM(N$2:N8)</f>
        <v>19202.827999999998</v>
      </c>
    </row>
    <row r="8" spans="1:24" x14ac:dyDescent="0.25">
      <c r="A8" s="5" t="s">
        <v>52</v>
      </c>
      <c r="B8" s="6" t="s">
        <v>53</v>
      </c>
      <c r="C8" s="6" t="s">
        <v>54</v>
      </c>
      <c r="D8" s="7" t="s">
        <v>16</v>
      </c>
      <c r="E8" s="7" t="s">
        <v>55</v>
      </c>
      <c r="F8" s="7" t="s">
        <v>18</v>
      </c>
      <c r="G8" s="7" t="s">
        <v>44</v>
      </c>
      <c r="H8" s="7" t="s">
        <v>45</v>
      </c>
      <c r="I8" s="7" t="s">
        <v>46</v>
      </c>
      <c r="J8" s="7">
        <v>7</v>
      </c>
      <c r="K8" s="24">
        <v>735.72</v>
      </c>
      <c r="L8" s="8">
        <v>0.1</v>
      </c>
      <c r="M8" s="20">
        <v>565.84</v>
      </c>
      <c r="N8" s="21">
        <f>(Table1[[#This Row],[Quantity]]*Table1[[#This Row],[Unit Price]])*(1-Table1[[#This Row],[Discount]])</f>
        <v>4635.0360000000001</v>
      </c>
      <c r="O8" s="21">
        <f>(Table1[[#This Row],[Unit Price]]-Table1[[#This Row],[Unit Cost]])*Table1[[#This Row],[Quantity]]</f>
        <v>1189.1599999999999</v>
      </c>
      <c r="P8" s="9" t="str">
        <f t="shared" si="0"/>
        <v>Bulk</v>
      </c>
      <c r="Q8" s="9" t="str">
        <f>IF(Table1[[#This Row],[Discount]]&gt;=15%,"HIGH",IF(Table1[[#This Row],[Discount]]&gt;=55,"MEDIUM","NONE"))</f>
        <v>NONE</v>
      </c>
      <c r="R8" s="9">
        <f>Table1[[#This Row],[Ship Date]]-Table1[[#This Row],[Order Date]]</f>
        <v>6</v>
      </c>
      <c r="S8" s="9">
        <f>VLOOKUP(Table1[[#This Row],[Region]],Table2[],2,FALSE)</f>
        <v>140000</v>
      </c>
      <c r="T8" s="9">
        <f>INDEX(Table2[Quarterly Target],MATCH(Table1[[#This Row],[Region]],Table2[[Region ]],0))</f>
        <v>140000</v>
      </c>
      <c r="U8" s="9">
        <f>RANK(Table1[[#This Row],[Sales]],Table1[Sales])</f>
        <v>99</v>
      </c>
      <c r="V8" s="21">
        <f>SUM(N$2:N9)</f>
        <v>19703.947999999997</v>
      </c>
    </row>
    <row r="9" spans="1:24" x14ac:dyDescent="0.25">
      <c r="A9" s="5" t="s">
        <v>56</v>
      </c>
      <c r="B9" s="6" t="s">
        <v>57</v>
      </c>
      <c r="C9" s="6" t="s">
        <v>58</v>
      </c>
      <c r="D9" s="7" t="s">
        <v>16</v>
      </c>
      <c r="E9" s="7" t="s">
        <v>59</v>
      </c>
      <c r="F9" s="7" t="s">
        <v>60</v>
      </c>
      <c r="G9" s="7" t="s">
        <v>44</v>
      </c>
      <c r="H9" s="7" t="s">
        <v>61</v>
      </c>
      <c r="I9" s="7" t="s">
        <v>62</v>
      </c>
      <c r="J9" s="7">
        <v>8</v>
      </c>
      <c r="K9" s="24">
        <v>69.599999999999994</v>
      </c>
      <c r="L9" s="8">
        <v>0.1</v>
      </c>
      <c r="M9" s="20">
        <v>42.85</v>
      </c>
      <c r="N9" s="21">
        <f>(Table1[[#This Row],[Quantity]]*Table1[[#This Row],[Unit Price]])*(1-Table1[[#This Row],[Discount]])</f>
        <v>501.11999999999995</v>
      </c>
      <c r="O9" s="21">
        <f>(Table1[[#This Row],[Unit Price]]-Table1[[#This Row],[Unit Cost]])*Table1[[#This Row],[Quantity]]</f>
        <v>213.99999999999994</v>
      </c>
      <c r="P9" s="9" t="str">
        <f t="shared" si="0"/>
        <v>Standard</v>
      </c>
      <c r="Q9" s="9" t="str">
        <f>IF(Table1[[#This Row],[Discount]]&gt;=15%,"HIGH",IF(Table1[[#This Row],[Discount]]&gt;=55,"MEDIUM","NONE"))</f>
        <v>NONE</v>
      </c>
      <c r="R9" s="9">
        <f>Table1[[#This Row],[Ship Date]]-Table1[[#This Row],[Order Date]]</f>
        <v>7</v>
      </c>
      <c r="S9" s="9">
        <f>VLOOKUP(Table1[[#This Row],[Region]],Table2[],2,FALSE)</f>
        <v>160000</v>
      </c>
      <c r="T9" s="9">
        <f>INDEX(Table2[Quarterly Target],MATCH(Table1[[#This Row],[Region]],Table2[[Region ]],0))</f>
        <v>160000</v>
      </c>
      <c r="U9" s="9">
        <f>RANK(Table1[[#This Row],[Sales]],Table1[Sales])</f>
        <v>225</v>
      </c>
      <c r="V9" s="21">
        <f>SUM(N$2:N10)</f>
        <v>20396.347999999998</v>
      </c>
    </row>
    <row r="10" spans="1:24" x14ac:dyDescent="0.25">
      <c r="A10" s="5" t="s">
        <v>63</v>
      </c>
      <c r="B10" s="6" t="s">
        <v>64</v>
      </c>
      <c r="C10" s="6" t="s">
        <v>65</v>
      </c>
      <c r="D10" s="7" t="s">
        <v>16</v>
      </c>
      <c r="E10" s="7" t="s">
        <v>66</v>
      </c>
      <c r="F10" s="7" t="s">
        <v>38</v>
      </c>
      <c r="G10" s="7" t="s">
        <v>67</v>
      </c>
      <c r="H10" s="7" t="s">
        <v>45</v>
      </c>
      <c r="I10" s="7" t="s">
        <v>68</v>
      </c>
      <c r="J10" s="7">
        <v>4</v>
      </c>
      <c r="K10" s="24">
        <v>173.1</v>
      </c>
      <c r="L10" s="8">
        <v>0</v>
      </c>
      <c r="M10" s="20">
        <v>129.47999999999999</v>
      </c>
      <c r="N10" s="21">
        <f>(Table1[[#This Row],[Quantity]]*Table1[[#This Row],[Unit Price]])*(1-Table1[[#This Row],[Discount]])</f>
        <v>692.4</v>
      </c>
      <c r="O10" s="21">
        <f>(Table1[[#This Row],[Unit Price]]-Table1[[#This Row],[Unit Cost]])*Table1[[#This Row],[Quantity]]</f>
        <v>174.48000000000002</v>
      </c>
      <c r="P10" s="9" t="str">
        <f t="shared" si="0"/>
        <v>Standard</v>
      </c>
      <c r="Q10" s="9" t="str">
        <f>IF(Table1[[#This Row],[Discount]]&gt;=15%,"HIGH",IF(Table1[[#This Row],[Discount]]&gt;=55,"MEDIUM","NONE"))</f>
        <v>NONE</v>
      </c>
      <c r="R10" s="9">
        <f>Table1[[#This Row],[Ship Date]]-Table1[[#This Row],[Order Date]]</f>
        <v>7</v>
      </c>
      <c r="S10" s="9">
        <f>VLOOKUP(Table1[[#This Row],[Region]],Table2[],2,FALSE)</f>
        <v>120000</v>
      </c>
      <c r="T10" s="9">
        <f>INDEX(Table2[Quarterly Target],MATCH(Table1[[#This Row],[Region]],Table2[[Region ]],0))</f>
        <v>120000</v>
      </c>
      <c r="U10" s="9">
        <f>RANK(Table1[[#This Row],[Sales]],Table1[Sales])</f>
        <v>203</v>
      </c>
      <c r="V10" s="21">
        <f>SUM(N$2:N11)</f>
        <v>20460.767999999996</v>
      </c>
    </row>
    <row r="11" spans="1:24" x14ac:dyDescent="0.25">
      <c r="A11" s="5" t="s">
        <v>69</v>
      </c>
      <c r="B11" s="6" t="s">
        <v>70</v>
      </c>
      <c r="C11" s="6" t="s">
        <v>70</v>
      </c>
      <c r="D11" s="7" t="s">
        <v>24</v>
      </c>
      <c r="E11" s="7" t="s">
        <v>71</v>
      </c>
      <c r="F11" s="7" t="s">
        <v>60</v>
      </c>
      <c r="G11" s="7" t="s">
        <v>44</v>
      </c>
      <c r="H11" s="7" t="s">
        <v>61</v>
      </c>
      <c r="I11" s="7" t="s">
        <v>72</v>
      </c>
      <c r="J11" s="7">
        <v>1</v>
      </c>
      <c r="K11" s="24">
        <v>64.42</v>
      </c>
      <c r="L11" s="8">
        <v>0</v>
      </c>
      <c r="M11" s="20">
        <v>46.41</v>
      </c>
      <c r="N11" s="21">
        <f>(Table1[[#This Row],[Quantity]]*Table1[[#This Row],[Unit Price]])*(1-Table1[[#This Row],[Discount]])</f>
        <v>64.42</v>
      </c>
      <c r="O11" s="21">
        <f>(Table1[[#This Row],[Unit Price]]-Table1[[#This Row],[Unit Cost]])*Table1[[#This Row],[Quantity]]</f>
        <v>18.010000000000005</v>
      </c>
      <c r="P11" s="9" t="str">
        <f t="shared" si="0"/>
        <v>Standard</v>
      </c>
      <c r="Q11" s="9" t="str">
        <f>IF(Table1[[#This Row],[Discount]]&gt;=15%,"HIGH",IF(Table1[[#This Row],[Discount]]&gt;=55,"MEDIUM","NONE"))</f>
        <v>NONE</v>
      </c>
      <c r="R11" s="9">
        <f>Table1[[#This Row],[Ship Date]]-Table1[[#This Row],[Order Date]]</f>
        <v>0</v>
      </c>
      <c r="S11" s="9">
        <f>VLOOKUP(Table1[[#This Row],[Region]],Table2[],2,FALSE)</f>
        <v>160000</v>
      </c>
      <c r="T11" s="9">
        <f>INDEX(Table2[Quarterly Target],MATCH(Table1[[#This Row],[Region]],Table2[[Region ]],0))</f>
        <v>160000</v>
      </c>
      <c r="U11" s="9">
        <f>RANK(Table1[[#This Row],[Sales]],Table1[Sales])</f>
        <v>373</v>
      </c>
      <c r="V11" s="21">
        <f>SUM(N$2:N12)</f>
        <v>20720.183999999997</v>
      </c>
    </row>
    <row r="12" spans="1:24" x14ac:dyDescent="0.25">
      <c r="A12" s="5" t="s">
        <v>73</v>
      </c>
      <c r="B12" s="6" t="s">
        <v>74</v>
      </c>
      <c r="C12" s="6" t="s">
        <v>74</v>
      </c>
      <c r="D12" s="7" t="s">
        <v>24</v>
      </c>
      <c r="E12" s="7" t="s">
        <v>75</v>
      </c>
      <c r="F12" s="7" t="s">
        <v>25</v>
      </c>
      <c r="G12" s="7" t="s">
        <v>26</v>
      </c>
      <c r="H12" s="7" t="s">
        <v>33</v>
      </c>
      <c r="I12" s="7" t="s">
        <v>76</v>
      </c>
      <c r="J12" s="7">
        <v>24</v>
      </c>
      <c r="K12" s="24">
        <v>12.01</v>
      </c>
      <c r="L12" s="8">
        <v>0.1</v>
      </c>
      <c r="M12" s="20">
        <v>8.89</v>
      </c>
      <c r="N12" s="21">
        <f>(Table1[[#This Row],[Quantity]]*Table1[[#This Row],[Unit Price]])*(1-Table1[[#This Row],[Discount]])</f>
        <v>259.416</v>
      </c>
      <c r="O12" s="21">
        <f>(Table1[[#This Row],[Unit Price]]-Table1[[#This Row],[Unit Cost]])*Table1[[#This Row],[Quantity]]</f>
        <v>74.879999999999981</v>
      </c>
      <c r="P12" s="9" t="str">
        <f t="shared" si="0"/>
        <v>Standard</v>
      </c>
      <c r="Q12" s="9" t="str">
        <f>IF(Table1[[#This Row],[Discount]]&gt;=15%,"HIGH",IF(Table1[[#This Row],[Discount]]&gt;=55,"MEDIUM","NONE"))</f>
        <v>NONE</v>
      </c>
      <c r="R12" s="9">
        <f>Table1[[#This Row],[Ship Date]]-Table1[[#This Row],[Order Date]]</f>
        <v>0</v>
      </c>
      <c r="S12" s="9">
        <f>VLOOKUP(Table1[[#This Row],[Region]],Table2[],2,FALSE)</f>
        <v>130000</v>
      </c>
      <c r="T12" s="9">
        <f>INDEX(Table2[Quarterly Target],MATCH(Table1[[#This Row],[Region]],Table2[[Region ]],0))</f>
        <v>130000</v>
      </c>
      <c r="U12" s="9">
        <f>RANK(Table1[[#This Row],[Sales]],Table1[Sales])</f>
        <v>286</v>
      </c>
      <c r="V12" s="21">
        <f>SUM(N$2:N13)</f>
        <v>25357.453999999998</v>
      </c>
    </row>
    <row r="13" spans="1:24" x14ac:dyDescent="0.25">
      <c r="A13" s="5" t="s">
        <v>77</v>
      </c>
      <c r="B13" s="6" t="s">
        <v>14</v>
      </c>
      <c r="C13" s="6" t="s">
        <v>14</v>
      </c>
      <c r="D13" s="7" t="s">
        <v>24</v>
      </c>
      <c r="E13" s="7" t="s">
        <v>78</v>
      </c>
      <c r="F13" s="7" t="s">
        <v>18</v>
      </c>
      <c r="G13" s="7" t="s">
        <v>26</v>
      </c>
      <c r="H13" s="7" t="s">
        <v>45</v>
      </c>
      <c r="I13" s="7" t="s">
        <v>68</v>
      </c>
      <c r="J13" s="7">
        <v>11</v>
      </c>
      <c r="K13" s="24">
        <v>421.57</v>
      </c>
      <c r="L13" s="8">
        <v>0</v>
      </c>
      <c r="M13" s="20">
        <v>329.78</v>
      </c>
      <c r="N13" s="21">
        <f>(Table1[[#This Row],[Quantity]]*Table1[[#This Row],[Unit Price]])*(1-Table1[[#This Row],[Discount]])</f>
        <v>4637.2699999999995</v>
      </c>
      <c r="O13" s="21">
        <f>(Table1[[#This Row],[Unit Price]]-Table1[[#This Row],[Unit Cost]])*Table1[[#This Row],[Quantity]]</f>
        <v>1009.6900000000003</v>
      </c>
      <c r="P13" s="9" t="str">
        <f t="shared" si="0"/>
        <v>Bulk</v>
      </c>
      <c r="Q13" s="9" t="str">
        <f>IF(Table1[[#This Row],[Discount]]&gt;=15%,"HIGH",IF(Table1[[#This Row],[Discount]]&gt;=55,"MEDIUM","NONE"))</f>
        <v>NONE</v>
      </c>
      <c r="R13" s="9">
        <f>Table1[[#This Row],[Ship Date]]-Table1[[#This Row],[Order Date]]</f>
        <v>0</v>
      </c>
      <c r="S13" s="9">
        <f>VLOOKUP(Table1[[#This Row],[Region]],Table2[],2,FALSE)</f>
        <v>140000</v>
      </c>
      <c r="T13" s="9">
        <f>INDEX(Table2[Quarterly Target],MATCH(Table1[[#This Row],[Region]],Table2[[Region ]],0))</f>
        <v>140000</v>
      </c>
      <c r="U13" s="9">
        <f>RANK(Table1[[#This Row],[Sales]],Table1[Sales])</f>
        <v>98</v>
      </c>
      <c r="V13" s="21">
        <f>SUM(N$2:N14)</f>
        <v>36712.453999999998</v>
      </c>
    </row>
    <row r="14" spans="1:24" x14ac:dyDescent="0.25">
      <c r="A14" s="5" t="s">
        <v>79</v>
      </c>
      <c r="B14" s="6" t="s">
        <v>80</v>
      </c>
      <c r="C14" s="6" t="s">
        <v>81</v>
      </c>
      <c r="D14" s="7" t="s">
        <v>16</v>
      </c>
      <c r="E14" s="7" t="s">
        <v>49</v>
      </c>
      <c r="F14" s="7" t="s">
        <v>43</v>
      </c>
      <c r="G14" s="7" t="s">
        <v>82</v>
      </c>
      <c r="H14" s="7" t="s">
        <v>45</v>
      </c>
      <c r="I14" s="7" t="s">
        <v>83</v>
      </c>
      <c r="J14" s="7">
        <v>25</v>
      </c>
      <c r="K14" s="24">
        <v>454.2</v>
      </c>
      <c r="L14" s="8">
        <v>0</v>
      </c>
      <c r="M14" s="20">
        <v>264.39</v>
      </c>
      <c r="N14" s="21">
        <f>(Table1[[#This Row],[Quantity]]*Table1[[#This Row],[Unit Price]])*(1-Table1[[#This Row],[Discount]])</f>
        <v>11355</v>
      </c>
      <c r="O14" s="21">
        <f>(Table1[[#This Row],[Unit Price]]-Table1[[#This Row],[Unit Cost]])*Table1[[#This Row],[Quantity]]</f>
        <v>4745.25</v>
      </c>
      <c r="P14" s="9" t="str">
        <f t="shared" si="0"/>
        <v>Bulk</v>
      </c>
      <c r="Q14" s="9" t="str">
        <f>IF(Table1[[#This Row],[Discount]]&gt;=15%,"HIGH",IF(Table1[[#This Row],[Discount]]&gt;=55,"MEDIUM","NONE"))</f>
        <v>NONE</v>
      </c>
      <c r="R14" s="9">
        <f>Table1[[#This Row],[Ship Date]]-Table1[[#This Row],[Order Date]]</f>
        <v>7</v>
      </c>
      <c r="S14" s="9">
        <f>VLOOKUP(Table1[[#This Row],[Region]],Table2[],2,FALSE)</f>
        <v>150000</v>
      </c>
      <c r="T14" s="9">
        <f>INDEX(Table2[Quarterly Target],MATCH(Table1[[#This Row],[Region]],Table2[[Region ]],0))</f>
        <v>150000</v>
      </c>
      <c r="U14" s="9">
        <f>RANK(Table1[[#This Row],[Sales]],Table1[Sales])</f>
        <v>36</v>
      </c>
      <c r="V14" s="21">
        <f>SUM(N$2:N15)</f>
        <v>38008.044999999998</v>
      </c>
    </row>
    <row r="15" spans="1:24" x14ac:dyDescent="0.25">
      <c r="A15" s="5" t="s">
        <v>84</v>
      </c>
      <c r="B15" s="6" t="s">
        <v>85</v>
      </c>
      <c r="C15" s="6" t="s">
        <v>86</v>
      </c>
      <c r="D15" s="7" t="s">
        <v>30</v>
      </c>
      <c r="E15" s="7" t="s">
        <v>87</v>
      </c>
      <c r="F15" s="7" t="s">
        <v>38</v>
      </c>
      <c r="G15" s="7" t="s">
        <v>44</v>
      </c>
      <c r="H15" s="7" t="s">
        <v>61</v>
      </c>
      <c r="I15" s="7" t="s">
        <v>88</v>
      </c>
      <c r="J15" s="7">
        <v>22</v>
      </c>
      <c r="K15" s="24">
        <v>61.99</v>
      </c>
      <c r="L15" s="8">
        <v>0.05</v>
      </c>
      <c r="M15" s="20">
        <v>48.04</v>
      </c>
      <c r="N15" s="21">
        <f>(Table1[[#This Row],[Quantity]]*Table1[[#This Row],[Unit Price]])*(1-Table1[[#This Row],[Discount]])</f>
        <v>1295.5909999999999</v>
      </c>
      <c r="O15" s="21">
        <f>(Table1[[#This Row],[Unit Price]]-Table1[[#This Row],[Unit Cost]])*Table1[[#This Row],[Quantity]]</f>
        <v>306.90000000000009</v>
      </c>
      <c r="P15" s="9" t="str">
        <f t="shared" si="0"/>
        <v>Bulk</v>
      </c>
      <c r="Q15" s="9" t="str">
        <f>IF(Table1[[#This Row],[Discount]]&gt;=15%,"HIGH",IF(Table1[[#This Row],[Discount]]&gt;=55,"MEDIUM","NONE"))</f>
        <v>NONE</v>
      </c>
      <c r="R15" s="9">
        <f>Table1[[#This Row],[Ship Date]]-Table1[[#This Row],[Order Date]]</f>
        <v>2</v>
      </c>
      <c r="S15" s="9">
        <f>VLOOKUP(Table1[[#This Row],[Region]],Table2[],2,FALSE)</f>
        <v>120000</v>
      </c>
      <c r="T15" s="9">
        <f>INDEX(Table2[Quarterly Target],MATCH(Table1[[#This Row],[Region]],Table2[[Region ]],0))</f>
        <v>120000</v>
      </c>
      <c r="U15" s="9">
        <f>RANK(Table1[[#This Row],[Sales]],Table1[Sales])</f>
        <v>160</v>
      </c>
      <c r="V15" s="21">
        <f>SUM(N$2:N16)</f>
        <v>38452.220999999998</v>
      </c>
    </row>
    <row r="16" spans="1:24" x14ac:dyDescent="0.25">
      <c r="A16" s="5" t="s">
        <v>89</v>
      </c>
      <c r="B16" s="6" t="s">
        <v>90</v>
      </c>
      <c r="C16" s="6" t="s">
        <v>90</v>
      </c>
      <c r="D16" s="7" t="s">
        <v>24</v>
      </c>
      <c r="E16" s="7" t="s">
        <v>91</v>
      </c>
      <c r="F16" s="7" t="s">
        <v>18</v>
      </c>
      <c r="G16" s="7" t="s">
        <v>19</v>
      </c>
      <c r="H16" s="7" t="s">
        <v>45</v>
      </c>
      <c r="I16" s="7" t="s">
        <v>46</v>
      </c>
      <c r="J16" s="7">
        <v>8</v>
      </c>
      <c r="K16" s="24">
        <v>65.319999999999993</v>
      </c>
      <c r="L16" s="8">
        <v>0.15</v>
      </c>
      <c r="M16" s="20">
        <v>46.23</v>
      </c>
      <c r="N16" s="21">
        <f>(Table1[[#This Row],[Quantity]]*Table1[[#This Row],[Unit Price]])*(1-Table1[[#This Row],[Discount]])</f>
        <v>444.17599999999993</v>
      </c>
      <c r="O16" s="21">
        <f>(Table1[[#This Row],[Unit Price]]-Table1[[#This Row],[Unit Cost]])*Table1[[#This Row],[Quantity]]</f>
        <v>152.71999999999997</v>
      </c>
      <c r="P16" s="9" t="str">
        <f t="shared" si="0"/>
        <v>Bulk</v>
      </c>
      <c r="Q16" s="9" t="str">
        <f>IF(Table1[[#This Row],[Discount]]&gt;=15%,"HIGH",IF(Table1[[#This Row],[Discount]]&gt;=55,"MEDIUM","NONE"))</f>
        <v>HIGH</v>
      </c>
      <c r="R16" s="9">
        <f>Table1[[#This Row],[Ship Date]]-Table1[[#This Row],[Order Date]]</f>
        <v>0</v>
      </c>
      <c r="S16" s="9">
        <f>VLOOKUP(Table1[[#This Row],[Region]],Table2[],2,FALSE)</f>
        <v>140000</v>
      </c>
      <c r="T16" s="9">
        <f>INDEX(Table2[Quarterly Target],MATCH(Table1[[#This Row],[Region]],Table2[[Region ]],0))</f>
        <v>140000</v>
      </c>
      <c r="U16" s="9">
        <f>RANK(Table1[[#This Row],[Sales]],Table1[Sales])</f>
        <v>235</v>
      </c>
      <c r="V16" s="21">
        <f>SUM(N$2:N17)</f>
        <v>38614.460999999996</v>
      </c>
    </row>
    <row r="17" spans="1:22" x14ac:dyDescent="0.25">
      <c r="A17" s="5" t="s">
        <v>92</v>
      </c>
      <c r="B17" s="6" t="s">
        <v>23</v>
      </c>
      <c r="C17" s="6" t="s">
        <v>23</v>
      </c>
      <c r="D17" s="7" t="s">
        <v>24</v>
      </c>
      <c r="E17" s="7" t="s">
        <v>17</v>
      </c>
      <c r="F17" s="7" t="s">
        <v>38</v>
      </c>
      <c r="G17" s="7" t="s">
        <v>44</v>
      </c>
      <c r="H17" s="7" t="s">
        <v>33</v>
      </c>
      <c r="I17" s="7" t="s">
        <v>34</v>
      </c>
      <c r="J17" s="7">
        <v>16</v>
      </c>
      <c r="K17" s="24">
        <v>10.14</v>
      </c>
      <c r="L17" s="8">
        <v>0</v>
      </c>
      <c r="M17" s="20">
        <v>7.41</v>
      </c>
      <c r="N17" s="21">
        <f>(Table1[[#This Row],[Quantity]]*Table1[[#This Row],[Unit Price]])*(1-Table1[[#This Row],[Discount]])</f>
        <v>162.24</v>
      </c>
      <c r="O17" s="21">
        <f>(Table1[[#This Row],[Unit Price]]-Table1[[#This Row],[Unit Cost]])*Table1[[#This Row],[Quantity]]</f>
        <v>43.680000000000007</v>
      </c>
      <c r="P17" s="9" t="str">
        <f t="shared" si="0"/>
        <v>Standard</v>
      </c>
      <c r="Q17" s="9" t="str">
        <f>IF(Table1[[#This Row],[Discount]]&gt;=15%,"HIGH",IF(Table1[[#This Row],[Discount]]&gt;=55,"MEDIUM","NONE"))</f>
        <v>NONE</v>
      </c>
      <c r="R17" s="9">
        <f>Table1[[#This Row],[Ship Date]]-Table1[[#This Row],[Order Date]]</f>
        <v>0</v>
      </c>
      <c r="S17" s="9">
        <f>VLOOKUP(Table1[[#This Row],[Region]],Table2[],2,FALSE)</f>
        <v>120000</v>
      </c>
      <c r="T17" s="9">
        <f>INDEX(Table2[Quarterly Target],MATCH(Table1[[#This Row],[Region]],Table2[[Region ]],0))</f>
        <v>120000</v>
      </c>
      <c r="U17" s="9">
        <f>RANK(Table1[[#This Row],[Sales]],Table1[Sales])</f>
        <v>330</v>
      </c>
      <c r="V17" s="21">
        <f>SUM(N$2:N18)</f>
        <v>39094.828999999998</v>
      </c>
    </row>
    <row r="18" spans="1:22" x14ac:dyDescent="0.25">
      <c r="A18" s="5" t="s">
        <v>93</v>
      </c>
      <c r="B18" s="6" t="s">
        <v>94</v>
      </c>
      <c r="C18" s="6" t="s">
        <v>95</v>
      </c>
      <c r="D18" s="7" t="s">
        <v>30</v>
      </c>
      <c r="E18" s="7" t="s">
        <v>96</v>
      </c>
      <c r="F18" s="7" t="s">
        <v>43</v>
      </c>
      <c r="G18" s="7" t="s">
        <v>97</v>
      </c>
      <c r="H18" s="7" t="s">
        <v>61</v>
      </c>
      <c r="I18" s="7" t="s">
        <v>88</v>
      </c>
      <c r="J18" s="7">
        <v>14</v>
      </c>
      <c r="K18" s="24">
        <v>42.89</v>
      </c>
      <c r="L18" s="8">
        <v>0.2</v>
      </c>
      <c r="M18" s="20">
        <v>31.41</v>
      </c>
      <c r="N18" s="21">
        <f>(Table1[[#This Row],[Quantity]]*Table1[[#This Row],[Unit Price]])*(1-Table1[[#This Row],[Discount]])</f>
        <v>480.36800000000005</v>
      </c>
      <c r="O18" s="21">
        <f>(Table1[[#This Row],[Unit Price]]-Table1[[#This Row],[Unit Cost]])*Table1[[#This Row],[Quantity]]</f>
        <v>160.72</v>
      </c>
      <c r="P18" s="9" t="str">
        <f t="shared" si="0"/>
        <v>Bulk</v>
      </c>
      <c r="Q18" s="9" t="str">
        <f>IF(Table1[[#This Row],[Discount]]&gt;=15%,"HIGH",IF(Table1[[#This Row],[Discount]]&gt;=55,"MEDIUM","NONE"))</f>
        <v>HIGH</v>
      </c>
      <c r="R18" s="9">
        <f>Table1[[#This Row],[Ship Date]]-Table1[[#This Row],[Order Date]]</f>
        <v>2</v>
      </c>
      <c r="S18" s="9">
        <f>VLOOKUP(Table1[[#This Row],[Region]],Table2[],2,FALSE)</f>
        <v>150000</v>
      </c>
      <c r="T18" s="9">
        <f>INDEX(Table2[Quarterly Target],MATCH(Table1[[#This Row],[Region]],Table2[[Region ]],0))</f>
        <v>150000</v>
      </c>
      <c r="U18" s="9">
        <f>RANK(Table1[[#This Row],[Sales]],Table1[Sales])</f>
        <v>229</v>
      </c>
      <c r="V18" s="21">
        <f>SUM(N$2:N19)</f>
        <v>39204.778999999995</v>
      </c>
    </row>
    <row r="19" spans="1:22" x14ac:dyDescent="0.25">
      <c r="A19" s="5" t="s">
        <v>98</v>
      </c>
      <c r="B19" s="6" t="s">
        <v>99</v>
      </c>
      <c r="C19" s="6" t="s">
        <v>99</v>
      </c>
      <c r="D19" s="7" t="s">
        <v>24</v>
      </c>
      <c r="E19" s="7" t="s">
        <v>87</v>
      </c>
      <c r="F19" s="7" t="s">
        <v>25</v>
      </c>
      <c r="G19" s="7" t="s">
        <v>19</v>
      </c>
      <c r="H19" s="7" t="s">
        <v>33</v>
      </c>
      <c r="I19" s="7" t="s">
        <v>34</v>
      </c>
      <c r="J19" s="7">
        <v>15</v>
      </c>
      <c r="K19" s="24">
        <v>7.33</v>
      </c>
      <c r="L19" s="8">
        <v>0</v>
      </c>
      <c r="M19" s="20">
        <v>4.54</v>
      </c>
      <c r="N19" s="21">
        <f>(Table1[[#This Row],[Quantity]]*Table1[[#This Row],[Unit Price]])*(1-Table1[[#This Row],[Discount]])</f>
        <v>109.95</v>
      </c>
      <c r="O19" s="21">
        <f>(Table1[[#This Row],[Unit Price]]-Table1[[#This Row],[Unit Cost]])*Table1[[#This Row],[Quantity]]</f>
        <v>41.85</v>
      </c>
      <c r="P19" s="9" t="str">
        <f t="shared" si="0"/>
        <v>Bulk</v>
      </c>
      <c r="Q19" s="9" t="str">
        <f>IF(Table1[[#This Row],[Discount]]&gt;=15%,"HIGH",IF(Table1[[#This Row],[Discount]]&gt;=55,"MEDIUM","NONE"))</f>
        <v>NONE</v>
      </c>
      <c r="R19" s="9">
        <f>Table1[[#This Row],[Ship Date]]-Table1[[#This Row],[Order Date]]</f>
        <v>0</v>
      </c>
      <c r="S19" s="9">
        <f>VLOOKUP(Table1[[#This Row],[Region]],Table2[],2,FALSE)</f>
        <v>130000</v>
      </c>
      <c r="T19" s="9">
        <f>INDEX(Table2[Quarterly Target],MATCH(Table1[[#This Row],[Region]],Table2[[Region ]],0))</f>
        <v>130000</v>
      </c>
      <c r="U19" s="9">
        <f>RANK(Table1[[#This Row],[Sales]],Table1[Sales])</f>
        <v>353</v>
      </c>
      <c r="V19" s="21">
        <f>SUM(N$2:N20)</f>
        <v>42153.844999999994</v>
      </c>
    </row>
    <row r="20" spans="1:22" x14ac:dyDescent="0.25">
      <c r="A20" s="5" t="s">
        <v>100</v>
      </c>
      <c r="B20" s="6" t="s">
        <v>101</v>
      </c>
      <c r="C20" s="6" t="s">
        <v>102</v>
      </c>
      <c r="D20" s="7" t="s">
        <v>16</v>
      </c>
      <c r="E20" s="7" t="s">
        <v>91</v>
      </c>
      <c r="F20" s="7" t="s">
        <v>38</v>
      </c>
      <c r="G20" s="7" t="s">
        <v>67</v>
      </c>
      <c r="H20" s="7" t="s">
        <v>20</v>
      </c>
      <c r="I20" s="7" t="s">
        <v>21</v>
      </c>
      <c r="J20" s="7">
        <v>6</v>
      </c>
      <c r="K20" s="24">
        <v>517.38</v>
      </c>
      <c r="L20" s="8">
        <v>0.05</v>
      </c>
      <c r="M20" s="20">
        <v>312.20999999999998</v>
      </c>
      <c r="N20" s="21">
        <f>(Table1[[#This Row],[Quantity]]*Table1[[#This Row],[Unit Price]])*(1-Table1[[#This Row],[Discount]])</f>
        <v>2949.0659999999998</v>
      </c>
      <c r="O20" s="21">
        <f>(Table1[[#This Row],[Unit Price]]-Table1[[#This Row],[Unit Cost]])*Table1[[#This Row],[Quantity]]</f>
        <v>1231.02</v>
      </c>
      <c r="P20" s="9" t="str">
        <f t="shared" si="0"/>
        <v>Bulk</v>
      </c>
      <c r="Q20" s="9" t="str">
        <f>IF(Table1[[#This Row],[Discount]]&gt;=15%,"HIGH",IF(Table1[[#This Row],[Discount]]&gt;=55,"MEDIUM","NONE"))</f>
        <v>NONE</v>
      </c>
      <c r="R20" s="9">
        <f>Table1[[#This Row],[Ship Date]]-Table1[[#This Row],[Order Date]]</f>
        <v>7</v>
      </c>
      <c r="S20" s="9">
        <f>VLOOKUP(Table1[[#This Row],[Region]],Table2[],2,FALSE)</f>
        <v>120000</v>
      </c>
      <c r="T20" s="9">
        <f>INDEX(Table2[Quarterly Target],MATCH(Table1[[#This Row],[Region]],Table2[[Region ]],0))</f>
        <v>120000</v>
      </c>
      <c r="U20" s="9">
        <f>RANK(Table1[[#This Row],[Sales]],Table1[Sales])</f>
        <v>124</v>
      </c>
      <c r="V20" s="21">
        <f>SUM(N$2:N21)</f>
        <v>42936.031999999992</v>
      </c>
    </row>
    <row r="21" spans="1:22" x14ac:dyDescent="0.25">
      <c r="A21" s="5" t="s">
        <v>103</v>
      </c>
      <c r="B21" s="6" t="s">
        <v>104</v>
      </c>
      <c r="C21" s="6" t="s">
        <v>105</v>
      </c>
      <c r="D21" s="7" t="s">
        <v>30</v>
      </c>
      <c r="E21" s="7" t="s">
        <v>37</v>
      </c>
      <c r="F21" s="7" t="s">
        <v>60</v>
      </c>
      <c r="G21" s="7" t="s">
        <v>82</v>
      </c>
      <c r="H21" s="7" t="s">
        <v>61</v>
      </c>
      <c r="I21" s="7" t="s">
        <v>106</v>
      </c>
      <c r="J21" s="7">
        <v>14</v>
      </c>
      <c r="K21" s="24">
        <v>65.73</v>
      </c>
      <c r="L21" s="8">
        <v>0.15</v>
      </c>
      <c r="M21" s="20">
        <v>52.51</v>
      </c>
      <c r="N21" s="21">
        <f>(Table1[[#This Row],[Quantity]]*Table1[[#This Row],[Unit Price]])*(1-Table1[[#This Row],[Discount]])</f>
        <v>782.18700000000001</v>
      </c>
      <c r="O21" s="21">
        <f>(Table1[[#This Row],[Unit Price]]-Table1[[#This Row],[Unit Cost]])*Table1[[#This Row],[Quantity]]</f>
        <v>185.0800000000001</v>
      </c>
      <c r="P21" s="9" t="str">
        <f t="shared" si="0"/>
        <v>Standard</v>
      </c>
      <c r="Q21" s="9" t="str">
        <f>IF(Table1[[#This Row],[Discount]]&gt;=15%,"HIGH",IF(Table1[[#This Row],[Discount]]&gt;=55,"MEDIUM","NONE"))</f>
        <v>HIGH</v>
      </c>
      <c r="R21" s="9">
        <f>Table1[[#This Row],[Ship Date]]-Table1[[#This Row],[Order Date]]</f>
        <v>2</v>
      </c>
      <c r="S21" s="9">
        <f>VLOOKUP(Table1[[#This Row],[Region]],Table2[],2,FALSE)</f>
        <v>160000</v>
      </c>
      <c r="T21" s="9">
        <f>INDEX(Table2[Quarterly Target],MATCH(Table1[[#This Row],[Region]],Table2[[Region ]],0))</f>
        <v>160000</v>
      </c>
      <c r="U21" s="9">
        <f>RANK(Table1[[#This Row],[Sales]],Table1[Sales])</f>
        <v>190</v>
      </c>
      <c r="V21" s="21">
        <f>SUM(N$2:N22)</f>
        <v>42977.314999999995</v>
      </c>
    </row>
    <row r="22" spans="1:22" x14ac:dyDescent="0.25">
      <c r="A22" s="5" t="s">
        <v>107</v>
      </c>
      <c r="B22" s="6" t="s">
        <v>108</v>
      </c>
      <c r="C22" s="6" t="s">
        <v>108</v>
      </c>
      <c r="D22" s="7" t="s">
        <v>24</v>
      </c>
      <c r="E22" s="7" t="s">
        <v>109</v>
      </c>
      <c r="F22" s="7" t="s">
        <v>43</v>
      </c>
      <c r="G22" s="7" t="s">
        <v>26</v>
      </c>
      <c r="H22" s="7" t="s">
        <v>33</v>
      </c>
      <c r="I22" s="7" t="s">
        <v>51</v>
      </c>
      <c r="J22" s="7">
        <v>11</v>
      </c>
      <c r="K22" s="24">
        <v>4.17</v>
      </c>
      <c r="L22" s="8">
        <v>0.1</v>
      </c>
      <c r="M22" s="20">
        <v>2.79</v>
      </c>
      <c r="N22" s="21">
        <f>(Table1[[#This Row],[Quantity]]*Table1[[#This Row],[Unit Price]])*(1-Table1[[#This Row],[Discount]])</f>
        <v>41.283000000000001</v>
      </c>
      <c r="O22" s="21">
        <f>(Table1[[#This Row],[Unit Price]]-Table1[[#This Row],[Unit Cost]])*Table1[[#This Row],[Quantity]]</f>
        <v>15.18</v>
      </c>
      <c r="P22" s="9" t="str">
        <f t="shared" si="0"/>
        <v>Bulk</v>
      </c>
      <c r="Q22" s="9" t="str">
        <f>IF(Table1[[#This Row],[Discount]]&gt;=15%,"HIGH",IF(Table1[[#This Row],[Discount]]&gt;=55,"MEDIUM","NONE"))</f>
        <v>NONE</v>
      </c>
      <c r="R22" s="9">
        <f>Table1[[#This Row],[Ship Date]]-Table1[[#This Row],[Order Date]]</f>
        <v>0</v>
      </c>
      <c r="S22" s="9">
        <f>VLOOKUP(Table1[[#This Row],[Region]],Table2[],2,FALSE)</f>
        <v>150000</v>
      </c>
      <c r="T22" s="9">
        <f>INDEX(Table2[Quarterly Target],MATCH(Table1[[#This Row],[Region]],Table2[[Region ]],0))</f>
        <v>150000</v>
      </c>
      <c r="U22" s="9">
        <f>RANK(Table1[[#This Row],[Sales]],Table1[Sales])</f>
        <v>386</v>
      </c>
      <c r="V22" s="21">
        <f>SUM(N$2:N23)</f>
        <v>46680.562999999995</v>
      </c>
    </row>
    <row r="23" spans="1:22" x14ac:dyDescent="0.25">
      <c r="A23" s="5" t="s">
        <v>110</v>
      </c>
      <c r="B23" s="6" t="s">
        <v>111</v>
      </c>
      <c r="C23" s="6" t="s">
        <v>111</v>
      </c>
      <c r="D23" s="7" t="s">
        <v>24</v>
      </c>
      <c r="E23" s="7" t="s">
        <v>112</v>
      </c>
      <c r="F23" s="7" t="s">
        <v>43</v>
      </c>
      <c r="G23" s="7" t="s">
        <v>67</v>
      </c>
      <c r="H23" s="7" t="s">
        <v>20</v>
      </c>
      <c r="I23" s="7" t="s">
        <v>113</v>
      </c>
      <c r="J23" s="7">
        <v>8</v>
      </c>
      <c r="K23" s="24">
        <v>514.34</v>
      </c>
      <c r="L23" s="8">
        <v>0.1</v>
      </c>
      <c r="M23" s="20">
        <v>314.55</v>
      </c>
      <c r="N23" s="21">
        <f>(Table1[[#This Row],[Quantity]]*Table1[[#This Row],[Unit Price]])*(1-Table1[[#This Row],[Discount]])</f>
        <v>3703.2480000000005</v>
      </c>
      <c r="O23" s="21">
        <f>(Table1[[#This Row],[Unit Price]]-Table1[[#This Row],[Unit Cost]])*Table1[[#This Row],[Quantity]]</f>
        <v>1598.3200000000002</v>
      </c>
      <c r="P23" s="9" t="str">
        <f t="shared" si="0"/>
        <v>Bulk</v>
      </c>
      <c r="Q23" s="9" t="str">
        <f>IF(Table1[[#This Row],[Discount]]&gt;=15%,"HIGH",IF(Table1[[#This Row],[Discount]]&gt;=55,"MEDIUM","NONE"))</f>
        <v>NONE</v>
      </c>
      <c r="R23" s="9">
        <f>Table1[[#This Row],[Ship Date]]-Table1[[#This Row],[Order Date]]</f>
        <v>0</v>
      </c>
      <c r="S23" s="9">
        <f>VLOOKUP(Table1[[#This Row],[Region]],Table2[],2,FALSE)</f>
        <v>150000</v>
      </c>
      <c r="T23" s="9">
        <f>INDEX(Table2[Quarterly Target],MATCH(Table1[[#This Row],[Region]],Table2[[Region ]],0))</f>
        <v>150000</v>
      </c>
      <c r="U23" s="9">
        <f>RANK(Table1[[#This Row],[Sales]],Table1[Sales])</f>
        <v>108</v>
      </c>
      <c r="V23" s="21">
        <f>SUM(N$2:N24)</f>
        <v>46757.581499999993</v>
      </c>
    </row>
    <row r="24" spans="1:22" x14ac:dyDescent="0.25">
      <c r="A24" s="5" t="s">
        <v>114</v>
      </c>
      <c r="B24" s="6" t="s">
        <v>115</v>
      </c>
      <c r="C24" s="6" t="s">
        <v>116</v>
      </c>
      <c r="D24" s="7" t="s">
        <v>30</v>
      </c>
      <c r="E24" s="7" t="s">
        <v>117</v>
      </c>
      <c r="F24" s="7" t="s">
        <v>25</v>
      </c>
      <c r="G24" s="7" t="s">
        <v>19</v>
      </c>
      <c r="H24" s="7" t="s">
        <v>33</v>
      </c>
      <c r="I24" s="7" t="s">
        <v>39</v>
      </c>
      <c r="J24" s="7">
        <v>13</v>
      </c>
      <c r="K24" s="24">
        <v>6.97</v>
      </c>
      <c r="L24" s="8">
        <v>0.15</v>
      </c>
      <c r="M24" s="20">
        <v>4.3600000000000003</v>
      </c>
      <c r="N24" s="21">
        <f>(Table1[[#This Row],[Quantity]]*Table1[[#This Row],[Unit Price]])*(1-Table1[[#This Row],[Discount]])</f>
        <v>77.018500000000003</v>
      </c>
      <c r="O24" s="21">
        <f>(Table1[[#This Row],[Unit Price]]-Table1[[#This Row],[Unit Cost]])*Table1[[#This Row],[Quantity]]</f>
        <v>33.929999999999993</v>
      </c>
      <c r="P24" s="9" t="str">
        <f t="shared" si="0"/>
        <v>Standard</v>
      </c>
      <c r="Q24" s="9" t="str">
        <f>IF(Table1[[#This Row],[Discount]]&gt;=15%,"HIGH",IF(Table1[[#This Row],[Discount]]&gt;=55,"MEDIUM","NONE"))</f>
        <v>HIGH</v>
      </c>
      <c r="R24" s="9">
        <f>Table1[[#This Row],[Ship Date]]-Table1[[#This Row],[Order Date]]</f>
        <v>2</v>
      </c>
      <c r="S24" s="9">
        <f>VLOOKUP(Table1[[#This Row],[Region]],Table2[],2,FALSE)</f>
        <v>130000</v>
      </c>
      <c r="T24" s="9">
        <f>INDEX(Table2[Quarterly Target],MATCH(Table1[[#This Row],[Region]],Table2[[Region ]],0))</f>
        <v>130000</v>
      </c>
      <c r="U24" s="9">
        <f>RANK(Table1[[#This Row],[Sales]],Table1[Sales])</f>
        <v>369</v>
      </c>
      <c r="V24" s="21">
        <f>SUM(N$2:N25)</f>
        <v>47110.871499999994</v>
      </c>
    </row>
    <row r="25" spans="1:22" x14ac:dyDescent="0.25">
      <c r="A25" s="5" t="s">
        <v>118</v>
      </c>
      <c r="B25" s="6" t="s">
        <v>119</v>
      </c>
      <c r="C25" s="6" t="s">
        <v>119</v>
      </c>
      <c r="D25" s="7" t="s">
        <v>24</v>
      </c>
      <c r="E25" s="7" t="s">
        <v>96</v>
      </c>
      <c r="F25" s="7" t="s">
        <v>38</v>
      </c>
      <c r="G25" s="7" t="s">
        <v>67</v>
      </c>
      <c r="H25" s="7" t="s">
        <v>61</v>
      </c>
      <c r="I25" s="7" t="s">
        <v>72</v>
      </c>
      <c r="J25" s="7">
        <v>7</v>
      </c>
      <c r="K25" s="24">
        <v>50.47</v>
      </c>
      <c r="L25" s="8">
        <v>0</v>
      </c>
      <c r="M25" s="20">
        <v>39.53</v>
      </c>
      <c r="N25" s="21">
        <f>(Table1[[#This Row],[Quantity]]*Table1[[#This Row],[Unit Price]])*(1-Table1[[#This Row],[Discount]])</f>
        <v>353.28999999999996</v>
      </c>
      <c r="O25" s="21">
        <f>(Table1[[#This Row],[Unit Price]]-Table1[[#This Row],[Unit Cost]])*Table1[[#This Row],[Quantity]]</f>
        <v>76.579999999999984</v>
      </c>
      <c r="P25" s="9" t="str">
        <f t="shared" si="0"/>
        <v>Bulk</v>
      </c>
      <c r="Q25" s="9" t="str">
        <f>IF(Table1[[#This Row],[Discount]]&gt;=15%,"HIGH",IF(Table1[[#This Row],[Discount]]&gt;=55,"MEDIUM","NONE"))</f>
        <v>NONE</v>
      </c>
      <c r="R25" s="9">
        <f>Table1[[#This Row],[Ship Date]]-Table1[[#This Row],[Order Date]]</f>
        <v>0</v>
      </c>
      <c r="S25" s="9">
        <f>VLOOKUP(Table1[[#This Row],[Region]],Table2[],2,FALSE)</f>
        <v>120000</v>
      </c>
      <c r="T25" s="9">
        <f>INDEX(Table2[Quarterly Target],MATCH(Table1[[#This Row],[Region]],Table2[[Region ]],0))</f>
        <v>120000</v>
      </c>
      <c r="U25" s="9">
        <f>RANK(Table1[[#This Row],[Sales]],Table1[Sales])</f>
        <v>260</v>
      </c>
      <c r="V25" s="21">
        <f>SUM(N$2:N26)</f>
        <v>47505.356499999994</v>
      </c>
    </row>
    <row r="26" spans="1:22" x14ac:dyDescent="0.25">
      <c r="A26" s="5" t="s">
        <v>120</v>
      </c>
      <c r="B26" s="6" t="s">
        <v>121</v>
      </c>
      <c r="C26" s="6" t="s">
        <v>121</v>
      </c>
      <c r="D26" s="7" t="s">
        <v>24</v>
      </c>
      <c r="E26" s="7" t="s">
        <v>122</v>
      </c>
      <c r="F26" s="7" t="s">
        <v>60</v>
      </c>
      <c r="G26" s="7" t="s">
        <v>44</v>
      </c>
      <c r="H26" s="7" t="s">
        <v>33</v>
      </c>
      <c r="I26" s="7" t="s">
        <v>51</v>
      </c>
      <c r="J26" s="7">
        <v>21</v>
      </c>
      <c r="K26" s="24">
        <v>22.1</v>
      </c>
      <c r="L26" s="8">
        <v>0.15</v>
      </c>
      <c r="M26" s="20">
        <v>16.670000000000002</v>
      </c>
      <c r="N26" s="21">
        <f>(Table1[[#This Row],[Quantity]]*Table1[[#This Row],[Unit Price]])*(1-Table1[[#This Row],[Discount]])</f>
        <v>394.48500000000001</v>
      </c>
      <c r="O26" s="21">
        <f>(Table1[[#This Row],[Unit Price]]-Table1[[#This Row],[Unit Cost]])*Table1[[#This Row],[Quantity]]</f>
        <v>114.03</v>
      </c>
      <c r="P26" s="9" t="str">
        <f t="shared" si="0"/>
        <v>Standard</v>
      </c>
      <c r="Q26" s="9" t="str">
        <f>IF(Table1[[#This Row],[Discount]]&gt;=15%,"HIGH",IF(Table1[[#This Row],[Discount]]&gt;=55,"MEDIUM","NONE"))</f>
        <v>HIGH</v>
      </c>
      <c r="R26" s="9">
        <f>Table1[[#This Row],[Ship Date]]-Table1[[#This Row],[Order Date]]</f>
        <v>0</v>
      </c>
      <c r="S26" s="9">
        <f>VLOOKUP(Table1[[#This Row],[Region]],Table2[],2,FALSE)</f>
        <v>160000</v>
      </c>
      <c r="T26" s="9">
        <f>INDEX(Table2[Quarterly Target],MATCH(Table1[[#This Row],[Region]],Table2[[Region ]],0))</f>
        <v>160000</v>
      </c>
      <c r="U26" s="9">
        <f>RANK(Table1[[#This Row],[Sales]],Table1[Sales])</f>
        <v>247</v>
      </c>
      <c r="V26" s="21">
        <f>SUM(N$2:N27)</f>
        <v>47717.686499999996</v>
      </c>
    </row>
    <row r="27" spans="1:22" x14ac:dyDescent="0.25">
      <c r="A27" s="5" t="s">
        <v>123</v>
      </c>
      <c r="B27" s="6" t="s">
        <v>124</v>
      </c>
      <c r="C27" s="6" t="s">
        <v>125</v>
      </c>
      <c r="D27" s="7" t="s">
        <v>30</v>
      </c>
      <c r="E27" s="7" t="s">
        <v>122</v>
      </c>
      <c r="F27" s="7" t="s">
        <v>43</v>
      </c>
      <c r="G27" s="7" t="s">
        <v>50</v>
      </c>
      <c r="H27" s="7" t="s">
        <v>33</v>
      </c>
      <c r="I27" s="7" t="s">
        <v>34</v>
      </c>
      <c r="J27" s="7">
        <v>10</v>
      </c>
      <c r="K27" s="24">
        <v>24.98</v>
      </c>
      <c r="L27" s="8">
        <v>0.15</v>
      </c>
      <c r="M27" s="20">
        <v>15.88</v>
      </c>
      <c r="N27" s="21">
        <f>(Table1[[#This Row],[Quantity]]*Table1[[#This Row],[Unit Price]])*(1-Table1[[#This Row],[Discount]])</f>
        <v>212.33</v>
      </c>
      <c r="O27" s="21">
        <f>(Table1[[#This Row],[Unit Price]]-Table1[[#This Row],[Unit Cost]])*Table1[[#This Row],[Quantity]]</f>
        <v>91</v>
      </c>
      <c r="P27" s="9" t="str">
        <f t="shared" si="0"/>
        <v>Bulk</v>
      </c>
      <c r="Q27" s="9" t="str">
        <f>IF(Table1[[#This Row],[Discount]]&gt;=15%,"HIGH",IF(Table1[[#This Row],[Discount]]&gt;=55,"MEDIUM","NONE"))</f>
        <v>HIGH</v>
      </c>
      <c r="R27" s="9">
        <f>Table1[[#This Row],[Ship Date]]-Table1[[#This Row],[Order Date]]</f>
        <v>3</v>
      </c>
      <c r="S27" s="9">
        <f>VLOOKUP(Table1[[#This Row],[Region]],Table2[],2,FALSE)</f>
        <v>150000</v>
      </c>
      <c r="T27" s="9">
        <f>INDEX(Table2[Quarterly Target],MATCH(Table1[[#This Row],[Region]],Table2[[Region ]],0))</f>
        <v>150000</v>
      </c>
      <c r="U27" s="9">
        <f>RANK(Table1[[#This Row],[Sales]],Table1[Sales])</f>
        <v>305</v>
      </c>
      <c r="V27" s="21">
        <f>SUM(N$2:N28)</f>
        <v>56476.672999999995</v>
      </c>
    </row>
    <row r="28" spans="1:22" x14ac:dyDescent="0.25">
      <c r="A28" s="5" t="s">
        <v>126</v>
      </c>
      <c r="B28" s="6" t="s">
        <v>127</v>
      </c>
      <c r="C28" s="6" t="s">
        <v>128</v>
      </c>
      <c r="D28" s="7" t="s">
        <v>16</v>
      </c>
      <c r="E28" s="7" t="s">
        <v>37</v>
      </c>
      <c r="F28" s="7" t="s">
        <v>60</v>
      </c>
      <c r="G28" s="7" t="s">
        <v>26</v>
      </c>
      <c r="H28" s="7" t="s">
        <v>20</v>
      </c>
      <c r="I28" s="7" t="s">
        <v>21</v>
      </c>
      <c r="J28" s="7">
        <v>11</v>
      </c>
      <c r="K28" s="24">
        <v>936.79</v>
      </c>
      <c r="L28" s="8">
        <v>0.15</v>
      </c>
      <c r="M28" s="20">
        <v>744.7</v>
      </c>
      <c r="N28" s="21">
        <f>(Table1[[#This Row],[Quantity]]*Table1[[#This Row],[Unit Price]])*(1-Table1[[#This Row],[Discount]])</f>
        <v>8758.9864999999991</v>
      </c>
      <c r="O28" s="21">
        <f>(Table1[[#This Row],[Unit Price]]-Table1[[#This Row],[Unit Cost]])*Table1[[#This Row],[Quantity]]</f>
        <v>2112.9899999999989</v>
      </c>
      <c r="P28" s="9" t="str">
        <f t="shared" si="0"/>
        <v>Standard</v>
      </c>
      <c r="Q28" s="9" t="str">
        <f>IF(Table1[[#This Row],[Discount]]&gt;=15%,"HIGH",IF(Table1[[#This Row],[Discount]]&gt;=55,"MEDIUM","NONE"))</f>
        <v>HIGH</v>
      </c>
      <c r="R28" s="9">
        <f>Table1[[#This Row],[Ship Date]]-Table1[[#This Row],[Order Date]]</f>
        <v>5</v>
      </c>
      <c r="S28" s="9">
        <f>VLOOKUP(Table1[[#This Row],[Region]],Table2[],2,FALSE)</f>
        <v>160000</v>
      </c>
      <c r="T28" s="9">
        <f>INDEX(Table2[Quarterly Target],MATCH(Table1[[#This Row],[Region]],Table2[[Region ]],0))</f>
        <v>160000</v>
      </c>
      <c r="U28" s="9">
        <f>RANK(Table1[[#This Row],[Sales]],Table1[Sales])</f>
        <v>50</v>
      </c>
      <c r="V28" s="21">
        <f>SUM(N$2:N29)</f>
        <v>56691.272999999994</v>
      </c>
    </row>
    <row r="29" spans="1:22" x14ac:dyDescent="0.25">
      <c r="A29" s="5" t="s">
        <v>129</v>
      </c>
      <c r="B29" s="6" t="s">
        <v>130</v>
      </c>
      <c r="C29" s="6" t="s">
        <v>130</v>
      </c>
      <c r="D29" s="7" t="s">
        <v>24</v>
      </c>
      <c r="E29" s="7" t="s">
        <v>96</v>
      </c>
      <c r="F29" s="7" t="s">
        <v>43</v>
      </c>
      <c r="G29" s="7" t="s">
        <v>67</v>
      </c>
      <c r="H29" s="7" t="s">
        <v>61</v>
      </c>
      <c r="I29" s="7" t="s">
        <v>72</v>
      </c>
      <c r="J29" s="7">
        <v>5</v>
      </c>
      <c r="K29" s="24">
        <v>53.65</v>
      </c>
      <c r="L29" s="8">
        <v>0.2</v>
      </c>
      <c r="M29" s="20">
        <v>34.46</v>
      </c>
      <c r="N29" s="21">
        <f>(Table1[[#This Row],[Quantity]]*Table1[[#This Row],[Unit Price]])*(1-Table1[[#This Row],[Discount]])</f>
        <v>214.60000000000002</v>
      </c>
      <c r="O29" s="21">
        <f>(Table1[[#This Row],[Unit Price]]-Table1[[#This Row],[Unit Cost]])*Table1[[#This Row],[Quantity]]</f>
        <v>95.949999999999989</v>
      </c>
      <c r="P29" s="9" t="str">
        <f t="shared" si="0"/>
        <v>Bulk</v>
      </c>
      <c r="Q29" s="9" t="str">
        <f>IF(Table1[[#This Row],[Discount]]&gt;=15%,"HIGH",IF(Table1[[#This Row],[Discount]]&gt;=55,"MEDIUM","NONE"))</f>
        <v>HIGH</v>
      </c>
      <c r="R29" s="9">
        <f>Table1[[#This Row],[Ship Date]]-Table1[[#This Row],[Order Date]]</f>
        <v>0</v>
      </c>
      <c r="S29" s="9">
        <f>VLOOKUP(Table1[[#This Row],[Region]],Table2[],2,FALSE)</f>
        <v>150000</v>
      </c>
      <c r="T29" s="9">
        <f>INDEX(Table2[Quarterly Target],MATCH(Table1[[#This Row],[Region]],Table2[[Region ]],0))</f>
        <v>150000</v>
      </c>
      <c r="U29" s="9">
        <f>RANK(Table1[[#This Row],[Sales]],Table1[Sales])</f>
        <v>303</v>
      </c>
      <c r="V29" s="21">
        <f>SUM(N$2:N30)</f>
        <v>64104.392999999996</v>
      </c>
    </row>
    <row r="30" spans="1:22" x14ac:dyDescent="0.25">
      <c r="A30" s="5" t="s">
        <v>131</v>
      </c>
      <c r="B30" s="6" t="s">
        <v>132</v>
      </c>
      <c r="C30" s="6" t="s">
        <v>124</v>
      </c>
      <c r="D30" s="7" t="s">
        <v>16</v>
      </c>
      <c r="E30" s="7" t="s">
        <v>133</v>
      </c>
      <c r="F30" s="7" t="s">
        <v>18</v>
      </c>
      <c r="G30" s="7" t="s">
        <v>32</v>
      </c>
      <c r="H30" s="7" t="s">
        <v>20</v>
      </c>
      <c r="I30" s="7" t="s">
        <v>134</v>
      </c>
      <c r="J30" s="7">
        <v>22</v>
      </c>
      <c r="K30" s="24">
        <v>336.96</v>
      </c>
      <c r="L30" s="8">
        <v>0</v>
      </c>
      <c r="M30" s="20">
        <v>215.12</v>
      </c>
      <c r="N30" s="21">
        <f>(Table1[[#This Row],[Quantity]]*Table1[[#This Row],[Unit Price]])*(1-Table1[[#This Row],[Discount]])</f>
        <v>7413.12</v>
      </c>
      <c r="O30" s="21">
        <f>(Table1[[#This Row],[Unit Price]]-Table1[[#This Row],[Unit Cost]])*Table1[[#This Row],[Quantity]]</f>
        <v>2680.4799999999996</v>
      </c>
      <c r="P30" s="9" t="str">
        <f t="shared" si="0"/>
        <v>Standard</v>
      </c>
      <c r="Q30" s="9" t="str">
        <f>IF(Table1[[#This Row],[Discount]]&gt;=15%,"HIGH",IF(Table1[[#This Row],[Discount]]&gt;=55,"MEDIUM","NONE"))</f>
        <v>NONE</v>
      </c>
      <c r="R30" s="9">
        <f>Table1[[#This Row],[Ship Date]]-Table1[[#This Row],[Order Date]]</f>
        <v>7</v>
      </c>
      <c r="S30" s="9">
        <f>VLOOKUP(Table1[[#This Row],[Region]],Table2[],2,FALSE)</f>
        <v>140000</v>
      </c>
      <c r="T30" s="9">
        <f>INDEX(Table2[Quarterly Target],MATCH(Table1[[#This Row],[Region]],Table2[[Region ]],0))</f>
        <v>140000</v>
      </c>
      <c r="U30" s="9">
        <f>RANK(Table1[[#This Row],[Sales]],Table1[Sales])</f>
        <v>66</v>
      </c>
      <c r="V30" s="21">
        <f>SUM(N$2:N31)</f>
        <v>70781.629499999995</v>
      </c>
    </row>
    <row r="31" spans="1:22" x14ac:dyDescent="0.25">
      <c r="A31" s="5" t="s">
        <v>135</v>
      </c>
      <c r="B31" s="6" t="s">
        <v>136</v>
      </c>
      <c r="C31" s="6" t="s">
        <v>136</v>
      </c>
      <c r="D31" s="7" t="s">
        <v>24</v>
      </c>
      <c r="E31" s="7" t="s">
        <v>91</v>
      </c>
      <c r="F31" s="7" t="s">
        <v>60</v>
      </c>
      <c r="G31" s="7" t="s">
        <v>50</v>
      </c>
      <c r="H31" s="7" t="s">
        <v>45</v>
      </c>
      <c r="I31" s="7" t="s">
        <v>68</v>
      </c>
      <c r="J31" s="7">
        <v>11</v>
      </c>
      <c r="K31" s="24">
        <v>638.97</v>
      </c>
      <c r="L31" s="8">
        <v>0.05</v>
      </c>
      <c r="M31" s="20">
        <v>479.58</v>
      </c>
      <c r="N31" s="21">
        <f>(Table1[[#This Row],[Quantity]]*Table1[[#This Row],[Unit Price]])*(1-Table1[[#This Row],[Discount]])</f>
        <v>6677.2365</v>
      </c>
      <c r="O31" s="21">
        <f>(Table1[[#This Row],[Unit Price]]-Table1[[#This Row],[Unit Cost]])*Table1[[#This Row],[Quantity]]</f>
        <v>1753.2900000000004</v>
      </c>
      <c r="P31" s="9" t="str">
        <f t="shared" si="0"/>
        <v>Bulk</v>
      </c>
      <c r="Q31" s="9" t="str">
        <f>IF(Table1[[#This Row],[Discount]]&gt;=15%,"HIGH",IF(Table1[[#This Row],[Discount]]&gt;=55,"MEDIUM","NONE"))</f>
        <v>NONE</v>
      </c>
      <c r="R31" s="9">
        <f>Table1[[#This Row],[Ship Date]]-Table1[[#This Row],[Order Date]]</f>
        <v>0</v>
      </c>
      <c r="S31" s="9">
        <f>VLOOKUP(Table1[[#This Row],[Region]],Table2[],2,FALSE)</f>
        <v>160000</v>
      </c>
      <c r="T31" s="9">
        <f>INDEX(Table2[Quarterly Target],MATCH(Table1[[#This Row],[Region]],Table2[[Region ]],0))</f>
        <v>160000</v>
      </c>
      <c r="U31" s="9">
        <f>RANK(Table1[[#This Row],[Sales]],Table1[Sales])</f>
        <v>79</v>
      </c>
      <c r="V31" s="21">
        <f>SUM(N$2:N32)</f>
        <v>76206.949500000002</v>
      </c>
    </row>
    <row r="32" spans="1:22" x14ac:dyDescent="0.25">
      <c r="A32" s="5" t="s">
        <v>137</v>
      </c>
      <c r="B32" s="6" t="s">
        <v>138</v>
      </c>
      <c r="C32" s="6" t="s">
        <v>104</v>
      </c>
      <c r="D32" s="7" t="s">
        <v>16</v>
      </c>
      <c r="E32" s="7" t="s">
        <v>66</v>
      </c>
      <c r="F32" s="7" t="s">
        <v>43</v>
      </c>
      <c r="G32" s="7" t="s">
        <v>19</v>
      </c>
      <c r="H32" s="7" t="s">
        <v>20</v>
      </c>
      <c r="I32" s="7" t="s">
        <v>139</v>
      </c>
      <c r="J32" s="7">
        <v>15</v>
      </c>
      <c r="K32" s="24">
        <v>452.11</v>
      </c>
      <c r="L32" s="8">
        <v>0.2</v>
      </c>
      <c r="M32" s="20">
        <v>338.56</v>
      </c>
      <c r="N32" s="21">
        <f>(Table1[[#This Row],[Quantity]]*Table1[[#This Row],[Unit Price]])*(1-Table1[[#This Row],[Discount]])</f>
        <v>5425.3200000000006</v>
      </c>
      <c r="O32" s="21">
        <f>(Table1[[#This Row],[Unit Price]]-Table1[[#This Row],[Unit Cost]])*Table1[[#This Row],[Quantity]]</f>
        <v>1703.2500000000002</v>
      </c>
      <c r="P32" s="9" t="str">
        <f t="shared" si="0"/>
        <v>Bulk</v>
      </c>
      <c r="Q32" s="9" t="str">
        <f>IF(Table1[[#This Row],[Discount]]&gt;=15%,"HIGH",IF(Table1[[#This Row],[Discount]]&gt;=55,"MEDIUM","NONE"))</f>
        <v>HIGH</v>
      </c>
      <c r="R32" s="9">
        <f>Table1[[#This Row],[Ship Date]]-Table1[[#This Row],[Order Date]]</f>
        <v>5</v>
      </c>
      <c r="S32" s="9">
        <f>VLOOKUP(Table1[[#This Row],[Region]],Table2[],2,FALSE)</f>
        <v>150000</v>
      </c>
      <c r="T32" s="9">
        <f>INDEX(Table2[Quarterly Target],MATCH(Table1[[#This Row],[Region]],Table2[[Region ]],0))</f>
        <v>150000</v>
      </c>
      <c r="U32" s="9">
        <f>RANK(Table1[[#This Row],[Sales]],Table1[Sales])</f>
        <v>89</v>
      </c>
      <c r="V32" s="21">
        <f>SUM(N$2:N33)</f>
        <v>82302.529500000004</v>
      </c>
    </row>
    <row r="33" spans="1:22" x14ac:dyDescent="0.25">
      <c r="A33" s="5" t="s">
        <v>140</v>
      </c>
      <c r="B33" s="6" t="s">
        <v>141</v>
      </c>
      <c r="C33" s="6" t="s">
        <v>142</v>
      </c>
      <c r="D33" s="7" t="s">
        <v>30</v>
      </c>
      <c r="E33" s="7" t="s">
        <v>37</v>
      </c>
      <c r="F33" s="7" t="s">
        <v>18</v>
      </c>
      <c r="G33" s="7" t="s">
        <v>67</v>
      </c>
      <c r="H33" s="7" t="s">
        <v>45</v>
      </c>
      <c r="I33" s="7" t="s">
        <v>143</v>
      </c>
      <c r="J33" s="7">
        <v>12</v>
      </c>
      <c r="K33" s="24">
        <v>534.70000000000005</v>
      </c>
      <c r="L33" s="8">
        <v>0.05</v>
      </c>
      <c r="M33" s="20">
        <v>384.92</v>
      </c>
      <c r="N33" s="21">
        <f>(Table1[[#This Row],[Quantity]]*Table1[[#This Row],[Unit Price]])*(1-Table1[[#This Row],[Discount]])</f>
        <v>6095.58</v>
      </c>
      <c r="O33" s="21">
        <f>(Table1[[#This Row],[Unit Price]]-Table1[[#This Row],[Unit Cost]])*Table1[[#This Row],[Quantity]]</f>
        <v>1797.3600000000004</v>
      </c>
      <c r="P33" s="9" t="str">
        <f t="shared" si="0"/>
        <v>Bulk</v>
      </c>
      <c r="Q33" s="9" t="str">
        <f>IF(Table1[[#This Row],[Discount]]&gt;=15%,"HIGH",IF(Table1[[#This Row],[Discount]]&gt;=55,"MEDIUM","NONE"))</f>
        <v>NONE</v>
      </c>
      <c r="R33" s="9">
        <f>Table1[[#This Row],[Ship Date]]-Table1[[#This Row],[Order Date]]</f>
        <v>2</v>
      </c>
      <c r="S33" s="9">
        <f>VLOOKUP(Table1[[#This Row],[Region]],Table2[],2,FALSE)</f>
        <v>140000</v>
      </c>
      <c r="T33" s="9">
        <f>INDEX(Table2[Quarterly Target],MATCH(Table1[[#This Row],[Region]],Table2[[Region ]],0))</f>
        <v>140000</v>
      </c>
      <c r="U33" s="9">
        <f>RANK(Table1[[#This Row],[Sales]],Table1[Sales])</f>
        <v>84</v>
      </c>
      <c r="V33" s="21">
        <f>SUM(N$2:N34)</f>
        <v>82617.199500000002</v>
      </c>
    </row>
    <row r="34" spans="1:22" x14ac:dyDescent="0.25">
      <c r="A34" s="5" t="s">
        <v>144</v>
      </c>
      <c r="B34" s="6" t="s">
        <v>145</v>
      </c>
      <c r="C34" s="6" t="s">
        <v>146</v>
      </c>
      <c r="D34" s="7" t="s">
        <v>16</v>
      </c>
      <c r="E34" s="7" t="s">
        <v>37</v>
      </c>
      <c r="F34" s="7" t="s">
        <v>38</v>
      </c>
      <c r="G34" s="7" t="s">
        <v>26</v>
      </c>
      <c r="H34" s="7" t="s">
        <v>33</v>
      </c>
      <c r="I34" s="7" t="s">
        <v>51</v>
      </c>
      <c r="J34" s="7">
        <v>20</v>
      </c>
      <c r="K34" s="24">
        <v>18.510000000000002</v>
      </c>
      <c r="L34" s="8">
        <v>0.15</v>
      </c>
      <c r="M34" s="20">
        <v>13.82</v>
      </c>
      <c r="N34" s="21">
        <f>(Table1[[#This Row],[Quantity]]*Table1[[#This Row],[Unit Price]])*(1-Table1[[#This Row],[Discount]])</f>
        <v>314.67</v>
      </c>
      <c r="O34" s="21">
        <f>(Table1[[#This Row],[Unit Price]]-Table1[[#This Row],[Unit Cost]])*Table1[[#This Row],[Quantity]]</f>
        <v>93.800000000000026</v>
      </c>
      <c r="P34" s="9" t="str">
        <f t="shared" si="0"/>
        <v>Bulk</v>
      </c>
      <c r="Q34" s="9" t="str">
        <f>IF(Table1[[#This Row],[Discount]]&gt;=15%,"HIGH",IF(Table1[[#This Row],[Discount]]&gt;=55,"MEDIUM","NONE"))</f>
        <v>HIGH</v>
      </c>
      <c r="R34" s="9">
        <f>Table1[[#This Row],[Ship Date]]-Table1[[#This Row],[Order Date]]</f>
        <v>7</v>
      </c>
      <c r="S34" s="9">
        <f>VLOOKUP(Table1[[#This Row],[Region]],Table2[],2,FALSE)</f>
        <v>120000</v>
      </c>
      <c r="T34" s="9">
        <f>INDEX(Table2[Quarterly Target],MATCH(Table1[[#This Row],[Region]],Table2[[Region ]],0))</f>
        <v>120000</v>
      </c>
      <c r="U34" s="9">
        <f>RANK(Table1[[#This Row],[Sales]],Table1[Sales])</f>
        <v>267</v>
      </c>
      <c r="V34" s="21">
        <f>SUM(N$2:N35)</f>
        <v>91311.730500000005</v>
      </c>
    </row>
    <row r="35" spans="1:22" x14ac:dyDescent="0.25">
      <c r="A35" s="5" t="s">
        <v>147</v>
      </c>
      <c r="B35" s="6" t="s">
        <v>70</v>
      </c>
      <c r="C35" s="6" t="s">
        <v>70</v>
      </c>
      <c r="D35" s="7" t="s">
        <v>24</v>
      </c>
      <c r="E35" s="7" t="s">
        <v>31</v>
      </c>
      <c r="F35" s="7" t="s">
        <v>43</v>
      </c>
      <c r="G35" s="7" t="s">
        <v>26</v>
      </c>
      <c r="H35" s="7" t="s">
        <v>45</v>
      </c>
      <c r="I35" s="7" t="s">
        <v>148</v>
      </c>
      <c r="J35" s="7">
        <v>18</v>
      </c>
      <c r="K35" s="24">
        <v>568.27</v>
      </c>
      <c r="L35" s="8">
        <v>0.15</v>
      </c>
      <c r="M35" s="20">
        <v>417.26</v>
      </c>
      <c r="N35" s="21">
        <f>(Table1[[#This Row],[Quantity]]*Table1[[#This Row],[Unit Price]])*(1-Table1[[#This Row],[Discount]])</f>
        <v>8694.5310000000009</v>
      </c>
      <c r="O35" s="21">
        <f>(Table1[[#This Row],[Unit Price]]-Table1[[#This Row],[Unit Cost]])*Table1[[#This Row],[Quantity]]</f>
        <v>2718.18</v>
      </c>
      <c r="P35" s="9" t="str">
        <f t="shared" si="0"/>
        <v>Bulk</v>
      </c>
      <c r="Q35" s="9" t="str">
        <f>IF(Table1[[#This Row],[Discount]]&gt;=15%,"HIGH",IF(Table1[[#This Row],[Discount]]&gt;=55,"MEDIUM","NONE"))</f>
        <v>HIGH</v>
      </c>
      <c r="R35" s="9">
        <f>Table1[[#This Row],[Ship Date]]-Table1[[#This Row],[Order Date]]</f>
        <v>0</v>
      </c>
      <c r="S35" s="9">
        <f>VLOOKUP(Table1[[#This Row],[Region]],Table2[],2,FALSE)</f>
        <v>150000</v>
      </c>
      <c r="T35" s="9">
        <f>INDEX(Table2[Quarterly Target],MATCH(Table1[[#This Row],[Region]],Table2[[Region ]],0))</f>
        <v>150000</v>
      </c>
      <c r="U35" s="9">
        <f>RANK(Table1[[#This Row],[Sales]],Table1[Sales])</f>
        <v>52</v>
      </c>
      <c r="V35" s="21">
        <f>SUM(N$2:N36)</f>
        <v>94822.61050000001</v>
      </c>
    </row>
    <row r="36" spans="1:22" x14ac:dyDescent="0.25">
      <c r="A36" s="5" t="s">
        <v>149</v>
      </c>
      <c r="B36" s="6" t="s">
        <v>150</v>
      </c>
      <c r="C36" s="6" t="s">
        <v>150</v>
      </c>
      <c r="D36" s="7" t="s">
        <v>24</v>
      </c>
      <c r="E36" s="7" t="s">
        <v>112</v>
      </c>
      <c r="F36" s="7" t="s">
        <v>18</v>
      </c>
      <c r="G36" s="7" t="s">
        <v>32</v>
      </c>
      <c r="H36" s="7" t="s">
        <v>20</v>
      </c>
      <c r="I36" s="7" t="s">
        <v>151</v>
      </c>
      <c r="J36" s="7">
        <v>4</v>
      </c>
      <c r="K36" s="24">
        <v>877.72</v>
      </c>
      <c r="L36" s="8">
        <v>0</v>
      </c>
      <c r="M36" s="20">
        <v>594.02</v>
      </c>
      <c r="N36" s="21">
        <f>(Table1[[#This Row],[Quantity]]*Table1[[#This Row],[Unit Price]])*(1-Table1[[#This Row],[Discount]])</f>
        <v>3510.88</v>
      </c>
      <c r="O36" s="21">
        <f>(Table1[[#This Row],[Unit Price]]-Table1[[#This Row],[Unit Cost]])*Table1[[#This Row],[Quantity]]</f>
        <v>1134.8000000000002</v>
      </c>
      <c r="P36" s="9" t="str">
        <f t="shared" si="0"/>
        <v>Bulk</v>
      </c>
      <c r="Q36" s="9" t="str">
        <f>IF(Table1[[#This Row],[Discount]]&gt;=15%,"HIGH",IF(Table1[[#This Row],[Discount]]&gt;=55,"MEDIUM","NONE"))</f>
        <v>NONE</v>
      </c>
      <c r="R36" s="9">
        <f>Table1[[#This Row],[Ship Date]]-Table1[[#This Row],[Order Date]]</f>
        <v>0</v>
      </c>
      <c r="S36" s="9">
        <f>VLOOKUP(Table1[[#This Row],[Region]],Table2[],2,FALSE)</f>
        <v>140000</v>
      </c>
      <c r="T36" s="9">
        <f>INDEX(Table2[Quarterly Target],MATCH(Table1[[#This Row],[Region]],Table2[[Region ]],0))</f>
        <v>140000</v>
      </c>
      <c r="U36" s="9">
        <f>RANK(Table1[[#This Row],[Sales]],Table1[Sales])</f>
        <v>112</v>
      </c>
      <c r="V36" s="21">
        <f>SUM(N$2:N37)</f>
        <v>95183.230500000005</v>
      </c>
    </row>
    <row r="37" spans="1:22" x14ac:dyDescent="0.25">
      <c r="A37" s="5" t="s">
        <v>152</v>
      </c>
      <c r="B37" s="6" t="s">
        <v>99</v>
      </c>
      <c r="C37" s="6" t="s">
        <v>99</v>
      </c>
      <c r="D37" s="7" t="s">
        <v>24</v>
      </c>
      <c r="E37" s="7" t="s">
        <v>87</v>
      </c>
      <c r="F37" s="7" t="s">
        <v>25</v>
      </c>
      <c r="G37" s="7" t="s">
        <v>97</v>
      </c>
      <c r="H37" s="7" t="s">
        <v>33</v>
      </c>
      <c r="I37" s="7" t="s">
        <v>153</v>
      </c>
      <c r="J37" s="7">
        <v>13</v>
      </c>
      <c r="K37" s="24">
        <v>27.74</v>
      </c>
      <c r="L37" s="8">
        <v>0</v>
      </c>
      <c r="M37" s="20">
        <v>19.53</v>
      </c>
      <c r="N37" s="21">
        <f>(Table1[[#This Row],[Quantity]]*Table1[[#This Row],[Unit Price]])*(1-Table1[[#This Row],[Discount]])</f>
        <v>360.62</v>
      </c>
      <c r="O37" s="21">
        <f>(Table1[[#This Row],[Unit Price]]-Table1[[#This Row],[Unit Cost]])*Table1[[#This Row],[Quantity]]</f>
        <v>106.72999999999996</v>
      </c>
      <c r="P37" s="9" t="str">
        <f t="shared" si="0"/>
        <v>Standard</v>
      </c>
      <c r="Q37" s="9" t="str">
        <f>IF(Table1[[#This Row],[Discount]]&gt;=15%,"HIGH",IF(Table1[[#This Row],[Discount]]&gt;=55,"MEDIUM","NONE"))</f>
        <v>NONE</v>
      </c>
      <c r="R37" s="9">
        <f>Table1[[#This Row],[Ship Date]]-Table1[[#This Row],[Order Date]]</f>
        <v>0</v>
      </c>
      <c r="S37" s="9">
        <f>VLOOKUP(Table1[[#This Row],[Region]],Table2[],2,FALSE)</f>
        <v>130000</v>
      </c>
      <c r="T37" s="9">
        <f>INDEX(Table2[Quarterly Target],MATCH(Table1[[#This Row],[Region]],Table2[[Region ]],0))</f>
        <v>130000</v>
      </c>
      <c r="U37" s="9">
        <f>RANK(Table1[[#This Row],[Sales]],Table1[Sales])</f>
        <v>255</v>
      </c>
      <c r="V37" s="21">
        <f>SUM(N$2:N38)</f>
        <v>110438.5205</v>
      </c>
    </row>
    <row r="38" spans="1:22" x14ac:dyDescent="0.25">
      <c r="A38" s="5" t="s">
        <v>154</v>
      </c>
      <c r="B38" s="6" t="s">
        <v>155</v>
      </c>
      <c r="C38" s="6" t="s">
        <v>155</v>
      </c>
      <c r="D38" s="7" t="s">
        <v>24</v>
      </c>
      <c r="E38" s="7" t="s">
        <v>87</v>
      </c>
      <c r="F38" s="7" t="s">
        <v>18</v>
      </c>
      <c r="G38" s="7" t="s">
        <v>97</v>
      </c>
      <c r="H38" s="7" t="s">
        <v>20</v>
      </c>
      <c r="I38" s="7" t="s">
        <v>134</v>
      </c>
      <c r="J38" s="7">
        <v>20</v>
      </c>
      <c r="K38" s="24">
        <v>802.91</v>
      </c>
      <c r="L38" s="8">
        <v>0.05</v>
      </c>
      <c r="M38" s="20">
        <v>530.28</v>
      </c>
      <c r="N38" s="21">
        <f>(Table1[[#This Row],[Quantity]]*Table1[[#This Row],[Unit Price]])*(1-Table1[[#This Row],[Discount]])</f>
        <v>15255.289999999999</v>
      </c>
      <c r="O38" s="21">
        <f>(Table1[[#This Row],[Unit Price]]-Table1[[#This Row],[Unit Cost]])*Table1[[#This Row],[Quantity]]</f>
        <v>5452.6</v>
      </c>
      <c r="P38" s="9" t="str">
        <f t="shared" si="0"/>
        <v>Bulk</v>
      </c>
      <c r="Q38" s="9" t="str">
        <f>IF(Table1[[#This Row],[Discount]]&gt;=15%,"HIGH",IF(Table1[[#This Row],[Discount]]&gt;=55,"MEDIUM","NONE"))</f>
        <v>NONE</v>
      </c>
      <c r="R38" s="9">
        <f>Table1[[#This Row],[Ship Date]]-Table1[[#This Row],[Order Date]]</f>
        <v>0</v>
      </c>
      <c r="S38" s="9">
        <f>VLOOKUP(Table1[[#This Row],[Region]],Table2[],2,FALSE)</f>
        <v>140000</v>
      </c>
      <c r="T38" s="9">
        <f>INDEX(Table2[Quarterly Target],MATCH(Table1[[#This Row],[Region]],Table2[[Region ]],0))</f>
        <v>140000</v>
      </c>
      <c r="U38" s="9">
        <f>RANK(Table1[[#This Row],[Sales]],Table1[Sales])</f>
        <v>15</v>
      </c>
      <c r="V38" s="21">
        <f>SUM(N$2:N39)</f>
        <v>118441.0205</v>
      </c>
    </row>
    <row r="39" spans="1:22" x14ac:dyDescent="0.25">
      <c r="A39" s="5" t="s">
        <v>156</v>
      </c>
      <c r="B39" s="6" t="s">
        <v>157</v>
      </c>
      <c r="C39" s="6" t="s">
        <v>158</v>
      </c>
      <c r="D39" s="7" t="s">
        <v>16</v>
      </c>
      <c r="E39" s="7" t="s">
        <v>112</v>
      </c>
      <c r="F39" s="7" t="s">
        <v>38</v>
      </c>
      <c r="G39" s="7" t="s">
        <v>32</v>
      </c>
      <c r="H39" s="7" t="s">
        <v>20</v>
      </c>
      <c r="I39" s="7" t="s">
        <v>134</v>
      </c>
      <c r="J39" s="7">
        <v>25</v>
      </c>
      <c r="K39" s="24">
        <v>320.10000000000002</v>
      </c>
      <c r="L39" s="8">
        <v>0</v>
      </c>
      <c r="M39" s="20">
        <v>194.03</v>
      </c>
      <c r="N39" s="21">
        <f>(Table1[[#This Row],[Quantity]]*Table1[[#This Row],[Unit Price]])*(1-Table1[[#This Row],[Discount]])</f>
        <v>8002.5000000000009</v>
      </c>
      <c r="O39" s="21">
        <f>(Table1[[#This Row],[Unit Price]]-Table1[[#This Row],[Unit Cost]])*Table1[[#This Row],[Quantity]]</f>
        <v>3151.7500000000005</v>
      </c>
      <c r="P39" s="9" t="str">
        <f t="shared" si="0"/>
        <v>Bulk</v>
      </c>
      <c r="Q39" s="9" t="str">
        <f>IF(Table1[[#This Row],[Discount]]&gt;=15%,"HIGH",IF(Table1[[#This Row],[Discount]]&gt;=55,"MEDIUM","NONE"))</f>
        <v>NONE</v>
      </c>
      <c r="R39" s="9">
        <f>Table1[[#This Row],[Ship Date]]-Table1[[#This Row],[Order Date]]</f>
        <v>5</v>
      </c>
      <c r="S39" s="9">
        <f>VLOOKUP(Table1[[#This Row],[Region]],Table2[],2,FALSE)</f>
        <v>120000</v>
      </c>
      <c r="T39" s="9">
        <f>INDEX(Table2[Quarterly Target],MATCH(Table1[[#This Row],[Region]],Table2[[Region ]],0))</f>
        <v>120000</v>
      </c>
      <c r="U39" s="9">
        <f>RANK(Table1[[#This Row],[Sales]],Table1[Sales])</f>
        <v>62</v>
      </c>
      <c r="V39" s="21">
        <f>SUM(N$2:N40)</f>
        <v>131911.1765</v>
      </c>
    </row>
    <row r="40" spans="1:22" x14ac:dyDescent="0.25">
      <c r="A40" s="5" t="s">
        <v>159</v>
      </c>
      <c r="B40" s="6" t="s">
        <v>160</v>
      </c>
      <c r="C40" s="6" t="s">
        <v>161</v>
      </c>
      <c r="D40" s="7" t="s">
        <v>30</v>
      </c>
      <c r="E40" s="7" t="s">
        <v>112</v>
      </c>
      <c r="F40" s="7" t="s">
        <v>60</v>
      </c>
      <c r="G40" s="7" t="s">
        <v>67</v>
      </c>
      <c r="H40" s="7" t="s">
        <v>20</v>
      </c>
      <c r="I40" s="7" t="s">
        <v>113</v>
      </c>
      <c r="J40" s="7">
        <v>14</v>
      </c>
      <c r="K40" s="24">
        <v>1069.06</v>
      </c>
      <c r="L40" s="8">
        <v>0.1</v>
      </c>
      <c r="M40" s="20">
        <v>639.95000000000005</v>
      </c>
      <c r="N40" s="21">
        <f>(Table1[[#This Row],[Quantity]]*Table1[[#This Row],[Unit Price]])*(1-Table1[[#This Row],[Discount]])</f>
        <v>13470.156000000001</v>
      </c>
      <c r="O40" s="21">
        <f>(Table1[[#This Row],[Unit Price]]-Table1[[#This Row],[Unit Cost]])*Table1[[#This Row],[Quantity]]</f>
        <v>6007.5399999999991</v>
      </c>
      <c r="P40" s="9" t="str">
        <f t="shared" si="0"/>
        <v>Bulk</v>
      </c>
      <c r="Q40" s="9" t="str">
        <f>IF(Table1[[#This Row],[Discount]]&gt;=15%,"HIGH",IF(Table1[[#This Row],[Discount]]&gt;=55,"MEDIUM","NONE"))</f>
        <v>NONE</v>
      </c>
      <c r="R40" s="9">
        <f>Table1[[#This Row],[Ship Date]]-Table1[[#This Row],[Order Date]]</f>
        <v>3</v>
      </c>
      <c r="S40" s="9">
        <f>VLOOKUP(Table1[[#This Row],[Region]],Table2[],2,FALSE)</f>
        <v>160000</v>
      </c>
      <c r="T40" s="9">
        <f>INDEX(Table2[Quarterly Target],MATCH(Table1[[#This Row],[Region]],Table2[[Region ]],0))</f>
        <v>160000</v>
      </c>
      <c r="U40" s="9">
        <f>RANK(Table1[[#This Row],[Sales]],Table1[Sales])</f>
        <v>24</v>
      </c>
      <c r="V40" s="21">
        <f>SUM(N$2:N41)</f>
        <v>135251.8805</v>
      </c>
    </row>
    <row r="41" spans="1:22" x14ac:dyDescent="0.25">
      <c r="A41" s="5" t="s">
        <v>162</v>
      </c>
      <c r="B41" s="6" t="s">
        <v>163</v>
      </c>
      <c r="C41" s="6" t="s">
        <v>164</v>
      </c>
      <c r="D41" s="7" t="s">
        <v>16</v>
      </c>
      <c r="E41" s="7" t="s">
        <v>96</v>
      </c>
      <c r="F41" s="7" t="s">
        <v>43</v>
      </c>
      <c r="G41" s="7" t="s">
        <v>97</v>
      </c>
      <c r="H41" s="7" t="s">
        <v>45</v>
      </c>
      <c r="I41" s="7" t="s">
        <v>68</v>
      </c>
      <c r="J41" s="7">
        <v>6</v>
      </c>
      <c r="K41" s="24">
        <v>655.04</v>
      </c>
      <c r="L41" s="8">
        <v>0.15</v>
      </c>
      <c r="M41" s="20">
        <v>445.09</v>
      </c>
      <c r="N41" s="21">
        <f>(Table1[[#This Row],[Quantity]]*Table1[[#This Row],[Unit Price]])*(1-Table1[[#This Row],[Discount]])</f>
        <v>3340.7039999999997</v>
      </c>
      <c r="O41" s="21">
        <f>(Table1[[#This Row],[Unit Price]]-Table1[[#This Row],[Unit Cost]])*Table1[[#This Row],[Quantity]]</f>
        <v>1259.6999999999998</v>
      </c>
      <c r="P41" s="9" t="str">
        <f t="shared" si="0"/>
        <v>Bulk</v>
      </c>
      <c r="Q41" s="9" t="str">
        <f>IF(Table1[[#This Row],[Discount]]&gt;=15%,"HIGH",IF(Table1[[#This Row],[Discount]]&gt;=55,"MEDIUM","NONE"))</f>
        <v>HIGH</v>
      </c>
      <c r="R41" s="9">
        <f>Table1[[#This Row],[Ship Date]]-Table1[[#This Row],[Order Date]]</f>
        <v>4</v>
      </c>
      <c r="S41" s="9">
        <f>VLOOKUP(Table1[[#This Row],[Region]],Table2[],2,FALSE)</f>
        <v>150000</v>
      </c>
      <c r="T41" s="9">
        <f>INDEX(Table2[Quarterly Target],MATCH(Table1[[#This Row],[Region]],Table2[[Region ]],0))</f>
        <v>150000</v>
      </c>
      <c r="U41" s="9">
        <f>RANK(Table1[[#This Row],[Sales]],Table1[Sales])</f>
        <v>117</v>
      </c>
      <c r="V41" s="21">
        <f>SUM(N$2:N42)</f>
        <v>136605.48050000001</v>
      </c>
    </row>
    <row r="42" spans="1:22" x14ac:dyDescent="0.25">
      <c r="A42" s="5" t="s">
        <v>165</v>
      </c>
      <c r="B42" s="6" t="s">
        <v>166</v>
      </c>
      <c r="C42" s="6" t="s">
        <v>167</v>
      </c>
      <c r="D42" s="7" t="s">
        <v>30</v>
      </c>
      <c r="E42" s="7" t="s">
        <v>71</v>
      </c>
      <c r="F42" s="7" t="s">
        <v>60</v>
      </c>
      <c r="G42" s="7" t="s">
        <v>32</v>
      </c>
      <c r="H42" s="7" t="s">
        <v>61</v>
      </c>
      <c r="I42" s="7" t="s">
        <v>88</v>
      </c>
      <c r="J42" s="7">
        <v>20</v>
      </c>
      <c r="K42" s="24">
        <v>75.2</v>
      </c>
      <c r="L42" s="8">
        <v>0.1</v>
      </c>
      <c r="M42" s="20">
        <v>49.38</v>
      </c>
      <c r="N42" s="21">
        <f>(Table1[[#This Row],[Quantity]]*Table1[[#This Row],[Unit Price]])*(1-Table1[[#This Row],[Discount]])</f>
        <v>1353.6000000000001</v>
      </c>
      <c r="O42" s="21">
        <f>(Table1[[#This Row],[Unit Price]]-Table1[[#This Row],[Unit Cost]])*Table1[[#This Row],[Quantity]]</f>
        <v>516.4</v>
      </c>
      <c r="P42" s="9" t="str">
        <f t="shared" si="0"/>
        <v>Standard</v>
      </c>
      <c r="Q42" s="9" t="str">
        <f>IF(Table1[[#This Row],[Discount]]&gt;=15%,"HIGH",IF(Table1[[#This Row],[Discount]]&gt;=55,"MEDIUM","NONE"))</f>
        <v>NONE</v>
      </c>
      <c r="R42" s="9">
        <f>Table1[[#This Row],[Ship Date]]-Table1[[#This Row],[Order Date]]</f>
        <v>2</v>
      </c>
      <c r="S42" s="9">
        <f>VLOOKUP(Table1[[#This Row],[Region]],Table2[],2,FALSE)</f>
        <v>160000</v>
      </c>
      <c r="T42" s="9">
        <f>INDEX(Table2[Quarterly Target],MATCH(Table1[[#This Row],[Region]],Table2[[Region ]],0))</f>
        <v>160000</v>
      </c>
      <c r="U42" s="9">
        <f>RANK(Table1[[#This Row],[Sales]],Table1[Sales])</f>
        <v>156</v>
      </c>
      <c r="V42" s="21">
        <f>SUM(N$2:N43)</f>
        <v>136861.24050000001</v>
      </c>
    </row>
    <row r="43" spans="1:22" x14ac:dyDescent="0.25">
      <c r="A43" s="5" t="s">
        <v>168</v>
      </c>
      <c r="B43" s="6" t="s">
        <v>95</v>
      </c>
      <c r="C43" s="6" t="s">
        <v>95</v>
      </c>
      <c r="D43" s="7" t="s">
        <v>24</v>
      </c>
      <c r="E43" s="7" t="s">
        <v>37</v>
      </c>
      <c r="F43" s="7" t="s">
        <v>25</v>
      </c>
      <c r="G43" s="7" t="s">
        <v>82</v>
      </c>
      <c r="H43" s="7" t="s">
        <v>61</v>
      </c>
      <c r="I43" s="7" t="s">
        <v>169</v>
      </c>
      <c r="J43" s="7">
        <v>8</v>
      </c>
      <c r="K43" s="24">
        <v>31.97</v>
      </c>
      <c r="L43" s="8">
        <v>0</v>
      </c>
      <c r="M43" s="20">
        <v>23.29</v>
      </c>
      <c r="N43" s="21">
        <f>(Table1[[#This Row],[Quantity]]*Table1[[#This Row],[Unit Price]])*(1-Table1[[#This Row],[Discount]])</f>
        <v>255.76</v>
      </c>
      <c r="O43" s="21">
        <f>(Table1[[#This Row],[Unit Price]]-Table1[[#This Row],[Unit Cost]])*Table1[[#This Row],[Quantity]]</f>
        <v>69.44</v>
      </c>
      <c r="P43" s="9" t="str">
        <f t="shared" si="0"/>
        <v>Bulk</v>
      </c>
      <c r="Q43" s="9" t="str">
        <f>IF(Table1[[#This Row],[Discount]]&gt;=15%,"HIGH",IF(Table1[[#This Row],[Discount]]&gt;=55,"MEDIUM","NONE"))</f>
        <v>NONE</v>
      </c>
      <c r="R43" s="9">
        <f>Table1[[#This Row],[Ship Date]]-Table1[[#This Row],[Order Date]]</f>
        <v>0</v>
      </c>
      <c r="S43" s="9">
        <f>VLOOKUP(Table1[[#This Row],[Region]],Table2[],2,FALSE)</f>
        <v>130000</v>
      </c>
      <c r="T43" s="9">
        <f>INDEX(Table2[Quarterly Target],MATCH(Table1[[#This Row],[Region]],Table2[[Region ]],0))</f>
        <v>130000</v>
      </c>
      <c r="U43" s="9">
        <f>RANK(Table1[[#This Row],[Sales]],Table1[Sales])</f>
        <v>288</v>
      </c>
      <c r="V43" s="21">
        <f>SUM(N$2:N44)</f>
        <v>137174.72900000002</v>
      </c>
    </row>
    <row r="44" spans="1:22" x14ac:dyDescent="0.25">
      <c r="A44" s="5" t="s">
        <v>170</v>
      </c>
      <c r="B44" s="6" t="s">
        <v>171</v>
      </c>
      <c r="C44" s="6" t="s">
        <v>172</v>
      </c>
      <c r="D44" s="7" t="s">
        <v>16</v>
      </c>
      <c r="E44" s="7" t="s">
        <v>59</v>
      </c>
      <c r="F44" s="7" t="s">
        <v>43</v>
      </c>
      <c r="G44" s="7" t="s">
        <v>50</v>
      </c>
      <c r="H44" s="7" t="s">
        <v>33</v>
      </c>
      <c r="I44" s="7" t="s">
        <v>153</v>
      </c>
      <c r="J44" s="7">
        <v>13</v>
      </c>
      <c r="K44" s="24">
        <v>28.37</v>
      </c>
      <c r="L44" s="8">
        <v>0.15</v>
      </c>
      <c r="M44" s="20">
        <v>17.12</v>
      </c>
      <c r="N44" s="21">
        <f>(Table1[[#This Row],[Quantity]]*Table1[[#This Row],[Unit Price]])*(1-Table1[[#This Row],[Discount]])</f>
        <v>313.48849999999999</v>
      </c>
      <c r="O44" s="21">
        <f>(Table1[[#This Row],[Unit Price]]-Table1[[#This Row],[Unit Cost]])*Table1[[#This Row],[Quantity]]</f>
        <v>146.25</v>
      </c>
      <c r="P44" s="9" t="str">
        <f t="shared" si="0"/>
        <v>Standard</v>
      </c>
      <c r="Q44" s="9" t="str">
        <f>IF(Table1[[#This Row],[Discount]]&gt;=15%,"HIGH",IF(Table1[[#This Row],[Discount]]&gt;=55,"MEDIUM","NONE"))</f>
        <v>HIGH</v>
      </c>
      <c r="R44" s="9">
        <f>Table1[[#This Row],[Ship Date]]-Table1[[#This Row],[Order Date]]</f>
        <v>7</v>
      </c>
      <c r="S44" s="9">
        <f>VLOOKUP(Table1[[#This Row],[Region]],Table2[],2,FALSE)</f>
        <v>150000</v>
      </c>
      <c r="T44" s="9">
        <f>INDEX(Table2[Quarterly Target],MATCH(Table1[[#This Row],[Region]],Table2[[Region ]],0))</f>
        <v>150000</v>
      </c>
      <c r="U44" s="9">
        <f>RANK(Table1[[#This Row],[Sales]],Table1[Sales])</f>
        <v>268</v>
      </c>
      <c r="V44" s="21">
        <f>SUM(N$2:N45)</f>
        <v>138380.24150000003</v>
      </c>
    </row>
    <row r="45" spans="1:22" x14ac:dyDescent="0.25">
      <c r="A45" s="5" t="s">
        <v>173</v>
      </c>
      <c r="B45" s="6" t="s">
        <v>174</v>
      </c>
      <c r="C45" s="6" t="s">
        <v>175</v>
      </c>
      <c r="D45" s="7" t="s">
        <v>30</v>
      </c>
      <c r="E45" s="7" t="s">
        <v>87</v>
      </c>
      <c r="F45" s="7" t="s">
        <v>43</v>
      </c>
      <c r="G45" s="7" t="s">
        <v>97</v>
      </c>
      <c r="H45" s="7" t="s">
        <v>61</v>
      </c>
      <c r="I45" s="7" t="s">
        <v>62</v>
      </c>
      <c r="J45" s="7">
        <v>25</v>
      </c>
      <c r="K45" s="24">
        <v>56.73</v>
      </c>
      <c r="L45" s="8">
        <v>0.15</v>
      </c>
      <c r="M45" s="20">
        <v>31.48</v>
      </c>
      <c r="N45" s="21">
        <f>(Table1[[#This Row],[Quantity]]*Table1[[#This Row],[Unit Price]])*(1-Table1[[#This Row],[Discount]])</f>
        <v>1205.5125</v>
      </c>
      <c r="O45" s="21">
        <f>(Table1[[#This Row],[Unit Price]]-Table1[[#This Row],[Unit Cost]])*Table1[[#This Row],[Quantity]]</f>
        <v>631.24999999999989</v>
      </c>
      <c r="P45" s="9" t="str">
        <f t="shared" si="0"/>
        <v>Bulk</v>
      </c>
      <c r="Q45" s="9" t="str">
        <f>IF(Table1[[#This Row],[Discount]]&gt;=15%,"HIGH",IF(Table1[[#This Row],[Discount]]&gt;=55,"MEDIUM","NONE"))</f>
        <v>HIGH</v>
      </c>
      <c r="R45" s="9">
        <f>Table1[[#This Row],[Ship Date]]-Table1[[#This Row],[Order Date]]</f>
        <v>3</v>
      </c>
      <c r="S45" s="9">
        <f>VLOOKUP(Table1[[#This Row],[Region]],Table2[],2,FALSE)</f>
        <v>150000</v>
      </c>
      <c r="T45" s="9">
        <f>INDEX(Table2[Quarterly Target],MATCH(Table1[[#This Row],[Region]],Table2[[Region ]],0))</f>
        <v>150000</v>
      </c>
      <c r="U45" s="9">
        <f>RANK(Table1[[#This Row],[Sales]],Table1[Sales])</f>
        <v>166</v>
      </c>
      <c r="V45" s="21">
        <f>SUM(N$2:N46)</f>
        <v>138474.25350000002</v>
      </c>
    </row>
    <row r="46" spans="1:22" x14ac:dyDescent="0.25">
      <c r="A46" s="5" t="s">
        <v>176</v>
      </c>
      <c r="B46" s="6" t="s">
        <v>177</v>
      </c>
      <c r="C46" s="6" t="s">
        <v>119</v>
      </c>
      <c r="D46" s="7" t="s">
        <v>30</v>
      </c>
      <c r="E46" s="7" t="s">
        <v>31</v>
      </c>
      <c r="F46" s="7" t="s">
        <v>60</v>
      </c>
      <c r="G46" s="7" t="s">
        <v>19</v>
      </c>
      <c r="H46" s="7" t="s">
        <v>33</v>
      </c>
      <c r="I46" s="7" t="s">
        <v>39</v>
      </c>
      <c r="J46" s="7">
        <v>8</v>
      </c>
      <c r="K46" s="24">
        <v>12.37</v>
      </c>
      <c r="L46" s="8">
        <v>0.05</v>
      </c>
      <c r="M46" s="20">
        <v>6.89</v>
      </c>
      <c r="N46" s="21">
        <f>(Table1[[#This Row],[Quantity]]*Table1[[#This Row],[Unit Price]])*(1-Table1[[#This Row],[Discount]])</f>
        <v>94.011999999999986</v>
      </c>
      <c r="O46" s="21">
        <f>(Table1[[#This Row],[Unit Price]]-Table1[[#This Row],[Unit Cost]])*Table1[[#This Row],[Quantity]]</f>
        <v>43.839999999999996</v>
      </c>
      <c r="P46" s="9" t="str">
        <f t="shared" si="0"/>
        <v>Bulk</v>
      </c>
      <c r="Q46" s="9" t="str">
        <f>IF(Table1[[#This Row],[Discount]]&gt;=15%,"HIGH",IF(Table1[[#This Row],[Discount]]&gt;=55,"MEDIUM","NONE"))</f>
        <v>NONE</v>
      </c>
      <c r="R46" s="9">
        <f>Table1[[#This Row],[Ship Date]]-Table1[[#This Row],[Order Date]]</f>
        <v>3</v>
      </c>
      <c r="S46" s="9">
        <f>VLOOKUP(Table1[[#This Row],[Region]],Table2[],2,FALSE)</f>
        <v>160000</v>
      </c>
      <c r="T46" s="9">
        <f>INDEX(Table2[Quarterly Target],MATCH(Table1[[#This Row],[Region]],Table2[[Region ]],0))</f>
        <v>160000</v>
      </c>
      <c r="U46" s="9">
        <f>RANK(Table1[[#This Row],[Sales]],Table1[Sales])</f>
        <v>360</v>
      </c>
      <c r="V46" s="21">
        <f>SUM(N$2:N47)</f>
        <v>139522.10350000003</v>
      </c>
    </row>
    <row r="47" spans="1:22" x14ac:dyDescent="0.25">
      <c r="A47" s="5" t="s">
        <v>178</v>
      </c>
      <c r="B47" s="6" t="s">
        <v>179</v>
      </c>
      <c r="C47" s="6" t="s">
        <v>180</v>
      </c>
      <c r="D47" s="7" t="s">
        <v>30</v>
      </c>
      <c r="E47" s="7" t="s">
        <v>122</v>
      </c>
      <c r="F47" s="7" t="s">
        <v>38</v>
      </c>
      <c r="G47" s="7" t="s">
        <v>26</v>
      </c>
      <c r="H47" s="7" t="s">
        <v>61</v>
      </c>
      <c r="I47" s="7" t="s">
        <v>88</v>
      </c>
      <c r="J47" s="7">
        <v>19</v>
      </c>
      <c r="K47" s="24">
        <v>55.15</v>
      </c>
      <c r="L47" s="8">
        <v>0</v>
      </c>
      <c r="M47" s="20">
        <v>31.49</v>
      </c>
      <c r="N47" s="21">
        <f>(Table1[[#This Row],[Quantity]]*Table1[[#This Row],[Unit Price]])*(1-Table1[[#This Row],[Discount]])</f>
        <v>1047.8499999999999</v>
      </c>
      <c r="O47" s="21">
        <f>(Table1[[#This Row],[Unit Price]]-Table1[[#This Row],[Unit Cost]])*Table1[[#This Row],[Quantity]]</f>
        <v>449.54</v>
      </c>
      <c r="P47" s="9" t="str">
        <f t="shared" si="0"/>
        <v>Standard</v>
      </c>
      <c r="Q47" s="9" t="str">
        <f>IF(Table1[[#This Row],[Discount]]&gt;=15%,"HIGH",IF(Table1[[#This Row],[Discount]]&gt;=55,"MEDIUM","NONE"))</f>
        <v>NONE</v>
      </c>
      <c r="R47" s="9">
        <f>Table1[[#This Row],[Ship Date]]-Table1[[#This Row],[Order Date]]</f>
        <v>2</v>
      </c>
      <c r="S47" s="9">
        <f>VLOOKUP(Table1[[#This Row],[Region]],Table2[],2,FALSE)</f>
        <v>120000</v>
      </c>
      <c r="T47" s="9">
        <f>INDEX(Table2[Quarterly Target],MATCH(Table1[[#This Row],[Region]],Table2[[Region ]],0))</f>
        <v>120000</v>
      </c>
      <c r="U47" s="9">
        <f>RANK(Table1[[#This Row],[Sales]],Table1[Sales])</f>
        <v>178</v>
      </c>
      <c r="V47" s="21">
        <f>SUM(N$2:N48)</f>
        <v>143144.54350000003</v>
      </c>
    </row>
    <row r="48" spans="1:22" x14ac:dyDescent="0.25">
      <c r="A48" s="5" t="s">
        <v>181</v>
      </c>
      <c r="B48" s="6" t="s">
        <v>182</v>
      </c>
      <c r="C48" s="6" t="s">
        <v>183</v>
      </c>
      <c r="D48" s="7" t="s">
        <v>16</v>
      </c>
      <c r="E48" s="7" t="s">
        <v>55</v>
      </c>
      <c r="F48" s="7" t="s">
        <v>18</v>
      </c>
      <c r="G48" s="7" t="s">
        <v>32</v>
      </c>
      <c r="H48" s="7" t="s">
        <v>45</v>
      </c>
      <c r="I48" s="7" t="s">
        <v>46</v>
      </c>
      <c r="J48" s="7">
        <v>15</v>
      </c>
      <c r="K48" s="24">
        <v>301.87</v>
      </c>
      <c r="L48" s="8">
        <v>0.2</v>
      </c>
      <c r="M48" s="20">
        <v>232.41</v>
      </c>
      <c r="N48" s="21">
        <f>(Table1[[#This Row],[Quantity]]*Table1[[#This Row],[Unit Price]])*(1-Table1[[#This Row],[Discount]])</f>
        <v>3622.4400000000005</v>
      </c>
      <c r="O48" s="21">
        <f>(Table1[[#This Row],[Unit Price]]-Table1[[#This Row],[Unit Cost]])*Table1[[#This Row],[Quantity]]</f>
        <v>1041.9000000000001</v>
      </c>
      <c r="P48" s="9" t="str">
        <f t="shared" si="0"/>
        <v>Bulk</v>
      </c>
      <c r="Q48" s="9" t="str">
        <f>IF(Table1[[#This Row],[Discount]]&gt;=15%,"HIGH",IF(Table1[[#This Row],[Discount]]&gt;=55,"MEDIUM","NONE"))</f>
        <v>HIGH</v>
      </c>
      <c r="R48" s="9">
        <f>Table1[[#This Row],[Ship Date]]-Table1[[#This Row],[Order Date]]</f>
        <v>6</v>
      </c>
      <c r="S48" s="9">
        <f>VLOOKUP(Table1[[#This Row],[Region]],Table2[],2,FALSE)</f>
        <v>140000</v>
      </c>
      <c r="T48" s="9">
        <f>INDEX(Table2[Quarterly Target],MATCH(Table1[[#This Row],[Region]],Table2[[Region ]],0))</f>
        <v>140000</v>
      </c>
      <c r="U48" s="9">
        <f>RANK(Table1[[#This Row],[Sales]],Table1[Sales])</f>
        <v>110</v>
      </c>
      <c r="V48" s="21">
        <f>SUM(N$2:N49)</f>
        <v>148249.63150000002</v>
      </c>
    </row>
    <row r="49" spans="1:22" x14ac:dyDescent="0.25">
      <c r="A49" s="5" t="s">
        <v>184</v>
      </c>
      <c r="B49" s="6" t="s">
        <v>185</v>
      </c>
      <c r="C49" s="6" t="s">
        <v>186</v>
      </c>
      <c r="D49" s="7" t="s">
        <v>30</v>
      </c>
      <c r="E49" s="7" t="s">
        <v>122</v>
      </c>
      <c r="F49" s="7" t="s">
        <v>43</v>
      </c>
      <c r="G49" s="7" t="s">
        <v>26</v>
      </c>
      <c r="H49" s="7" t="s">
        <v>20</v>
      </c>
      <c r="I49" s="7" t="s">
        <v>139</v>
      </c>
      <c r="J49" s="7">
        <v>8</v>
      </c>
      <c r="K49" s="24">
        <v>797.67</v>
      </c>
      <c r="L49" s="8">
        <v>0.2</v>
      </c>
      <c r="M49" s="20">
        <v>629.62</v>
      </c>
      <c r="N49" s="21">
        <f>(Table1[[#This Row],[Quantity]]*Table1[[#This Row],[Unit Price]])*(1-Table1[[#This Row],[Discount]])</f>
        <v>5105.0879999999997</v>
      </c>
      <c r="O49" s="21">
        <f>(Table1[[#This Row],[Unit Price]]-Table1[[#This Row],[Unit Cost]])*Table1[[#This Row],[Quantity]]</f>
        <v>1344.3999999999996</v>
      </c>
      <c r="P49" s="9" t="str">
        <f t="shared" si="0"/>
        <v>Bulk</v>
      </c>
      <c r="Q49" s="9" t="str">
        <f>IF(Table1[[#This Row],[Discount]]&gt;=15%,"HIGH",IF(Table1[[#This Row],[Discount]]&gt;=55,"MEDIUM","NONE"))</f>
        <v>HIGH</v>
      </c>
      <c r="R49" s="9">
        <f>Table1[[#This Row],[Ship Date]]-Table1[[#This Row],[Order Date]]</f>
        <v>2</v>
      </c>
      <c r="S49" s="9">
        <f>VLOOKUP(Table1[[#This Row],[Region]],Table2[],2,FALSE)</f>
        <v>150000</v>
      </c>
      <c r="T49" s="9">
        <f>INDEX(Table2[Quarterly Target],MATCH(Table1[[#This Row],[Region]],Table2[[Region ]],0))</f>
        <v>150000</v>
      </c>
      <c r="U49" s="9">
        <f>RANK(Table1[[#This Row],[Sales]],Table1[Sales])</f>
        <v>92</v>
      </c>
      <c r="V49" s="21">
        <f>SUM(N$2:N50)</f>
        <v>156247.39150000003</v>
      </c>
    </row>
    <row r="50" spans="1:22" x14ac:dyDescent="0.25">
      <c r="A50" s="5" t="s">
        <v>187</v>
      </c>
      <c r="B50" s="6" t="s">
        <v>90</v>
      </c>
      <c r="C50" s="6" t="s">
        <v>186</v>
      </c>
      <c r="D50" s="7" t="s">
        <v>16</v>
      </c>
      <c r="E50" s="7" t="s">
        <v>59</v>
      </c>
      <c r="F50" s="7" t="s">
        <v>38</v>
      </c>
      <c r="G50" s="7" t="s">
        <v>19</v>
      </c>
      <c r="H50" s="7" t="s">
        <v>45</v>
      </c>
      <c r="I50" s="7" t="s">
        <v>46</v>
      </c>
      <c r="J50" s="7">
        <v>16</v>
      </c>
      <c r="K50" s="24">
        <v>555.4</v>
      </c>
      <c r="L50" s="8">
        <v>0.1</v>
      </c>
      <c r="M50" s="20">
        <v>437.07</v>
      </c>
      <c r="N50" s="21">
        <f>(Table1[[#This Row],[Quantity]]*Table1[[#This Row],[Unit Price]])*(1-Table1[[#This Row],[Discount]])</f>
        <v>7997.76</v>
      </c>
      <c r="O50" s="21">
        <f>(Table1[[#This Row],[Unit Price]]-Table1[[#This Row],[Unit Cost]])*Table1[[#This Row],[Quantity]]</f>
        <v>1893.2799999999997</v>
      </c>
      <c r="P50" s="9" t="str">
        <f t="shared" si="0"/>
        <v>Standard</v>
      </c>
      <c r="Q50" s="9" t="str">
        <f>IF(Table1[[#This Row],[Discount]]&gt;=15%,"HIGH",IF(Table1[[#This Row],[Discount]]&gt;=55,"MEDIUM","NONE"))</f>
        <v>NONE</v>
      </c>
      <c r="R50" s="9">
        <f>Table1[[#This Row],[Ship Date]]-Table1[[#This Row],[Order Date]]</f>
        <v>7</v>
      </c>
      <c r="S50" s="9">
        <f>VLOOKUP(Table1[[#This Row],[Region]],Table2[],2,FALSE)</f>
        <v>120000</v>
      </c>
      <c r="T50" s="9">
        <f>INDEX(Table2[Quarterly Target],MATCH(Table1[[#This Row],[Region]],Table2[[Region ]],0))</f>
        <v>120000</v>
      </c>
      <c r="U50" s="9">
        <f>RANK(Table1[[#This Row],[Sales]],Table1[Sales])</f>
        <v>63</v>
      </c>
      <c r="V50" s="21">
        <f>SUM(N$2:N51)</f>
        <v>158200.31150000004</v>
      </c>
    </row>
    <row r="51" spans="1:22" x14ac:dyDescent="0.25">
      <c r="A51" s="5" t="s">
        <v>188</v>
      </c>
      <c r="B51" s="6" t="s">
        <v>65</v>
      </c>
      <c r="C51" s="6" t="s">
        <v>189</v>
      </c>
      <c r="D51" s="7" t="s">
        <v>30</v>
      </c>
      <c r="E51" s="7" t="s">
        <v>96</v>
      </c>
      <c r="F51" s="7" t="s">
        <v>38</v>
      </c>
      <c r="G51" s="7" t="s">
        <v>50</v>
      </c>
      <c r="H51" s="7" t="s">
        <v>45</v>
      </c>
      <c r="I51" s="7" t="s">
        <v>83</v>
      </c>
      <c r="J51" s="7">
        <v>4</v>
      </c>
      <c r="K51" s="24">
        <v>488.23</v>
      </c>
      <c r="L51" s="8">
        <v>0</v>
      </c>
      <c r="M51" s="20">
        <v>338.81</v>
      </c>
      <c r="N51" s="21">
        <f>(Table1[[#This Row],[Quantity]]*Table1[[#This Row],[Unit Price]])*(1-Table1[[#This Row],[Discount]])</f>
        <v>1952.92</v>
      </c>
      <c r="O51" s="21">
        <f>(Table1[[#This Row],[Unit Price]]-Table1[[#This Row],[Unit Cost]])*Table1[[#This Row],[Quantity]]</f>
        <v>597.68000000000006</v>
      </c>
      <c r="P51" s="9" t="str">
        <f t="shared" si="0"/>
        <v>Bulk</v>
      </c>
      <c r="Q51" s="9" t="str">
        <f>IF(Table1[[#This Row],[Discount]]&gt;=15%,"HIGH",IF(Table1[[#This Row],[Discount]]&gt;=55,"MEDIUM","NONE"))</f>
        <v>NONE</v>
      </c>
      <c r="R51" s="9">
        <f>Table1[[#This Row],[Ship Date]]-Table1[[#This Row],[Order Date]]</f>
        <v>3</v>
      </c>
      <c r="S51" s="9">
        <f>VLOOKUP(Table1[[#This Row],[Region]],Table2[],2,FALSE)</f>
        <v>120000</v>
      </c>
      <c r="T51" s="9">
        <f>INDEX(Table2[Quarterly Target],MATCH(Table1[[#This Row],[Region]],Table2[[Region ]],0))</f>
        <v>120000</v>
      </c>
      <c r="U51" s="9">
        <f>RANK(Table1[[#This Row],[Sales]],Table1[Sales])</f>
        <v>138</v>
      </c>
      <c r="V51" s="21">
        <f>SUM(N$2:N52)</f>
        <v>173822.07150000005</v>
      </c>
    </row>
    <row r="52" spans="1:22" x14ac:dyDescent="0.25">
      <c r="A52" s="5" t="s">
        <v>190</v>
      </c>
      <c r="B52" s="6" t="s">
        <v>191</v>
      </c>
      <c r="C52" s="6" t="s">
        <v>191</v>
      </c>
      <c r="D52" s="7" t="s">
        <v>24</v>
      </c>
      <c r="E52" s="7" t="s">
        <v>96</v>
      </c>
      <c r="F52" s="7" t="s">
        <v>25</v>
      </c>
      <c r="G52" s="7" t="s">
        <v>44</v>
      </c>
      <c r="H52" s="7" t="s">
        <v>20</v>
      </c>
      <c r="I52" s="7" t="s">
        <v>192</v>
      </c>
      <c r="J52" s="7">
        <v>20</v>
      </c>
      <c r="K52" s="24">
        <v>976.36</v>
      </c>
      <c r="L52" s="8">
        <v>0.2</v>
      </c>
      <c r="M52" s="20">
        <v>777.14</v>
      </c>
      <c r="N52" s="21">
        <f>(Table1[[#This Row],[Quantity]]*Table1[[#This Row],[Unit Price]])*(1-Table1[[#This Row],[Discount]])</f>
        <v>15621.760000000002</v>
      </c>
      <c r="O52" s="21">
        <f>(Table1[[#This Row],[Unit Price]]-Table1[[#This Row],[Unit Cost]])*Table1[[#This Row],[Quantity]]</f>
        <v>3984.4000000000005</v>
      </c>
      <c r="P52" s="9" t="str">
        <f t="shared" si="0"/>
        <v>Standard</v>
      </c>
      <c r="Q52" s="9" t="str">
        <f>IF(Table1[[#This Row],[Discount]]&gt;=15%,"HIGH",IF(Table1[[#This Row],[Discount]]&gt;=55,"MEDIUM","NONE"))</f>
        <v>HIGH</v>
      </c>
      <c r="R52" s="9">
        <f>Table1[[#This Row],[Ship Date]]-Table1[[#This Row],[Order Date]]</f>
        <v>0</v>
      </c>
      <c r="S52" s="9">
        <f>VLOOKUP(Table1[[#This Row],[Region]],Table2[],2,FALSE)</f>
        <v>130000</v>
      </c>
      <c r="T52" s="9">
        <f>INDEX(Table2[Quarterly Target],MATCH(Table1[[#This Row],[Region]],Table2[[Region ]],0))</f>
        <v>130000</v>
      </c>
      <c r="U52" s="9">
        <f>RANK(Table1[[#This Row],[Sales]],Table1[Sales])</f>
        <v>11</v>
      </c>
      <c r="V52" s="21">
        <f>SUM(N$2:N53)</f>
        <v>174883.13150000005</v>
      </c>
    </row>
    <row r="53" spans="1:22" x14ac:dyDescent="0.25">
      <c r="A53" s="5" t="s">
        <v>193</v>
      </c>
      <c r="B53" s="6" t="s">
        <v>194</v>
      </c>
      <c r="C53" s="6" t="s">
        <v>195</v>
      </c>
      <c r="D53" s="7" t="s">
        <v>16</v>
      </c>
      <c r="E53" s="7" t="s">
        <v>71</v>
      </c>
      <c r="F53" s="7" t="s">
        <v>43</v>
      </c>
      <c r="G53" s="7" t="s">
        <v>32</v>
      </c>
      <c r="H53" s="7" t="s">
        <v>61</v>
      </c>
      <c r="I53" s="7" t="s">
        <v>169</v>
      </c>
      <c r="J53" s="7">
        <v>14</v>
      </c>
      <c r="K53" s="24">
        <v>75.790000000000006</v>
      </c>
      <c r="L53" s="8">
        <v>0</v>
      </c>
      <c r="M53" s="20">
        <v>49.9</v>
      </c>
      <c r="N53" s="21">
        <f>(Table1[[#This Row],[Quantity]]*Table1[[#This Row],[Unit Price]])*(1-Table1[[#This Row],[Discount]])</f>
        <v>1061.0600000000002</v>
      </c>
      <c r="O53" s="21">
        <f>(Table1[[#This Row],[Unit Price]]-Table1[[#This Row],[Unit Cost]])*Table1[[#This Row],[Quantity]]</f>
        <v>362.46000000000009</v>
      </c>
      <c r="P53" s="9" t="str">
        <f t="shared" si="0"/>
        <v>Bulk</v>
      </c>
      <c r="Q53" s="9" t="str">
        <f>IF(Table1[[#This Row],[Discount]]&gt;=15%,"HIGH",IF(Table1[[#This Row],[Discount]]&gt;=55,"MEDIUM","NONE"))</f>
        <v>NONE</v>
      </c>
      <c r="R53" s="9">
        <f>Table1[[#This Row],[Ship Date]]-Table1[[#This Row],[Order Date]]</f>
        <v>6</v>
      </c>
      <c r="S53" s="9">
        <f>VLOOKUP(Table1[[#This Row],[Region]],Table2[],2,FALSE)</f>
        <v>150000</v>
      </c>
      <c r="T53" s="9">
        <f>INDEX(Table2[Quarterly Target],MATCH(Table1[[#This Row],[Region]],Table2[[Region ]],0))</f>
        <v>150000</v>
      </c>
      <c r="U53" s="9">
        <f>RANK(Table1[[#This Row],[Sales]],Table1[Sales])</f>
        <v>176</v>
      </c>
      <c r="V53" s="21">
        <f>SUM(N$2:N54)</f>
        <v>185711.36450000005</v>
      </c>
    </row>
    <row r="54" spans="1:22" x14ac:dyDescent="0.25">
      <c r="A54" s="5" t="s">
        <v>196</v>
      </c>
      <c r="B54" s="6" t="s">
        <v>197</v>
      </c>
      <c r="C54" s="6" t="s">
        <v>197</v>
      </c>
      <c r="D54" s="7" t="s">
        <v>24</v>
      </c>
      <c r="E54" s="7" t="s">
        <v>71</v>
      </c>
      <c r="F54" s="7" t="s">
        <v>25</v>
      </c>
      <c r="G54" s="7" t="s">
        <v>44</v>
      </c>
      <c r="H54" s="7" t="s">
        <v>45</v>
      </c>
      <c r="I54" s="7" t="s">
        <v>143</v>
      </c>
      <c r="J54" s="7">
        <v>18</v>
      </c>
      <c r="K54" s="24">
        <v>633.23</v>
      </c>
      <c r="L54" s="8">
        <v>0.05</v>
      </c>
      <c r="M54" s="20">
        <v>417.23</v>
      </c>
      <c r="N54" s="21">
        <f>(Table1[[#This Row],[Quantity]]*Table1[[#This Row],[Unit Price]])*(1-Table1[[#This Row],[Discount]])</f>
        <v>10828.232999999998</v>
      </c>
      <c r="O54" s="21">
        <f>(Table1[[#This Row],[Unit Price]]-Table1[[#This Row],[Unit Cost]])*Table1[[#This Row],[Quantity]]</f>
        <v>3888</v>
      </c>
      <c r="P54" s="9" t="str">
        <f t="shared" si="0"/>
        <v>Bulk</v>
      </c>
      <c r="Q54" s="9" t="str">
        <f>IF(Table1[[#This Row],[Discount]]&gt;=15%,"HIGH",IF(Table1[[#This Row],[Discount]]&gt;=55,"MEDIUM","NONE"))</f>
        <v>NONE</v>
      </c>
      <c r="R54" s="9">
        <f>Table1[[#This Row],[Ship Date]]-Table1[[#This Row],[Order Date]]</f>
        <v>0</v>
      </c>
      <c r="S54" s="9">
        <f>VLOOKUP(Table1[[#This Row],[Region]],Table2[],2,FALSE)</f>
        <v>130000</v>
      </c>
      <c r="T54" s="9">
        <f>INDEX(Table2[Quarterly Target],MATCH(Table1[[#This Row],[Region]],Table2[[Region ]],0))</f>
        <v>130000</v>
      </c>
      <c r="U54" s="9">
        <f>RANK(Table1[[#This Row],[Sales]],Table1[Sales])</f>
        <v>39</v>
      </c>
      <c r="V54" s="21">
        <f>SUM(N$2:N55)</f>
        <v>202079.76450000005</v>
      </c>
    </row>
    <row r="55" spans="1:22" x14ac:dyDescent="0.25">
      <c r="A55" s="5" t="s">
        <v>198</v>
      </c>
      <c r="B55" s="6" t="s">
        <v>199</v>
      </c>
      <c r="C55" s="6" t="s">
        <v>199</v>
      </c>
      <c r="D55" s="7" t="s">
        <v>24</v>
      </c>
      <c r="E55" s="7" t="s">
        <v>17</v>
      </c>
      <c r="F55" s="7" t="s">
        <v>60</v>
      </c>
      <c r="G55" s="7" t="s">
        <v>82</v>
      </c>
      <c r="H55" s="7" t="s">
        <v>20</v>
      </c>
      <c r="I55" s="7" t="s">
        <v>134</v>
      </c>
      <c r="J55" s="7">
        <v>20</v>
      </c>
      <c r="K55" s="24">
        <v>818.42</v>
      </c>
      <c r="L55" s="8">
        <v>0</v>
      </c>
      <c r="M55" s="20">
        <v>456</v>
      </c>
      <c r="N55" s="21">
        <f>(Table1[[#This Row],[Quantity]]*Table1[[#This Row],[Unit Price]])*(1-Table1[[#This Row],[Discount]])</f>
        <v>16368.4</v>
      </c>
      <c r="O55" s="21">
        <f>(Table1[[#This Row],[Unit Price]]-Table1[[#This Row],[Unit Cost]])*Table1[[#This Row],[Quantity]]</f>
        <v>7248.4</v>
      </c>
      <c r="P55" s="9" t="str">
        <f t="shared" si="0"/>
        <v>Bulk</v>
      </c>
      <c r="Q55" s="9" t="str">
        <f>IF(Table1[[#This Row],[Discount]]&gt;=15%,"HIGH",IF(Table1[[#This Row],[Discount]]&gt;=55,"MEDIUM","NONE"))</f>
        <v>NONE</v>
      </c>
      <c r="R55" s="9">
        <f>Table1[[#This Row],[Ship Date]]-Table1[[#This Row],[Order Date]]</f>
        <v>0</v>
      </c>
      <c r="S55" s="9">
        <f>VLOOKUP(Table1[[#This Row],[Region]],Table2[],2,FALSE)</f>
        <v>160000</v>
      </c>
      <c r="T55" s="9">
        <f>INDEX(Table2[Quarterly Target],MATCH(Table1[[#This Row],[Region]],Table2[[Region ]],0))</f>
        <v>160000</v>
      </c>
      <c r="U55" s="9">
        <f>RANK(Table1[[#This Row],[Sales]],Table1[Sales])</f>
        <v>9</v>
      </c>
      <c r="V55" s="21">
        <f>SUM(N$2:N56)</f>
        <v>216803.26050000003</v>
      </c>
    </row>
    <row r="56" spans="1:22" x14ac:dyDescent="0.25">
      <c r="A56" s="5" t="s">
        <v>200</v>
      </c>
      <c r="B56" s="6" t="s">
        <v>201</v>
      </c>
      <c r="C56" s="6" t="s">
        <v>201</v>
      </c>
      <c r="D56" s="7" t="s">
        <v>24</v>
      </c>
      <c r="E56" s="7" t="s">
        <v>117</v>
      </c>
      <c r="F56" s="7" t="s">
        <v>18</v>
      </c>
      <c r="G56" s="7" t="s">
        <v>44</v>
      </c>
      <c r="H56" s="7" t="s">
        <v>45</v>
      </c>
      <c r="I56" s="7" t="s">
        <v>148</v>
      </c>
      <c r="J56" s="7">
        <v>23</v>
      </c>
      <c r="K56" s="24">
        <v>711.28</v>
      </c>
      <c r="L56" s="8">
        <v>0.1</v>
      </c>
      <c r="M56" s="20">
        <v>393.01</v>
      </c>
      <c r="N56" s="21">
        <f>(Table1[[#This Row],[Quantity]]*Table1[[#This Row],[Unit Price]])*(1-Table1[[#This Row],[Discount]])</f>
        <v>14723.495999999999</v>
      </c>
      <c r="O56" s="21">
        <f>(Table1[[#This Row],[Unit Price]]-Table1[[#This Row],[Unit Cost]])*Table1[[#This Row],[Quantity]]</f>
        <v>7320.2099999999991</v>
      </c>
      <c r="P56" s="9" t="str">
        <f t="shared" si="0"/>
        <v>Bulk</v>
      </c>
      <c r="Q56" s="9" t="str">
        <f>IF(Table1[[#This Row],[Discount]]&gt;=15%,"HIGH",IF(Table1[[#This Row],[Discount]]&gt;=55,"MEDIUM","NONE"))</f>
        <v>NONE</v>
      </c>
      <c r="R56" s="9">
        <f>Table1[[#This Row],[Ship Date]]-Table1[[#This Row],[Order Date]]</f>
        <v>0</v>
      </c>
      <c r="S56" s="9">
        <f>VLOOKUP(Table1[[#This Row],[Region]],Table2[],2,FALSE)</f>
        <v>140000</v>
      </c>
      <c r="T56" s="9">
        <f>INDEX(Table2[Quarterly Target],MATCH(Table1[[#This Row],[Region]],Table2[[Region ]],0))</f>
        <v>140000</v>
      </c>
      <c r="U56" s="9">
        <f>RANK(Table1[[#This Row],[Sales]],Table1[Sales])</f>
        <v>18</v>
      </c>
      <c r="V56" s="21">
        <f>SUM(N$2:N57)</f>
        <v>217709.82850000003</v>
      </c>
    </row>
    <row r="57" spans="1:22" x14ac:dyDescent="0.25">
      <c r="A57" s="5" t="s">
        <v>202</v>
      </c>
      <c r="B57" s="6" t="s">
        <v>203</v>
      </c>
      <c r="C57" s="6" t="s">
        <v>203</v>
      </c>
      <c r="D57" s="7" t="s">
        <v>24</v>
      </c>
      <c r="E57" s="7" t="s">
        <v>17</v>
      </c>
      <c r="F57" s="7" t="s">
        <v>38</v>
      </c>
      <c r="G57" s="7" t="s">
        <v>82</v>
      </c>
      <c r="H57" s="7" t="s">
        <v>61</v>
      </c>
      <c r="I57" s="7" t="s">
        <v>62</v>
      </c>
      <c r="J57" s="7">
        <v>23</v>
      </c>
      <c r="K57" s="24">
        <v>49.27</v>
      </c>
      <c r="L57" s="8">
        <v>0.2</v>
      </c>
      <c r="M57" s="20">
        <v>27.31</v>
      </c>
      <c r="N57" s="21">
        <f>(Table1[[#This Row],[Quantity]]*Table1[[#This Row],[Unit Price]])*(1-Table1[[#This Row],[Discount]])</f>
        <v>906.5680000000001</v>
      </c>
      <c r="O57" s="21">
        <f>(Table1[[#This Row],[Unit Price]]-Table1[[#This Row],[Unit Cost]])*Table1[[#This Row],[Quantity]]</f>
        <v>505.0800000000001</v>
      </c>
      <c r="P57" s="9" t="str">
        <f t="shared" si="0"/>
        <v>Bulk</v>
      </c>
      <c r="Q57" s="9" t="str">
        <f>IF(Table1[[#This Row],[Discount]]&gt;=15%,"HIGH",IF(Table1[[#This Row],[Discount]]&gt;=55,"MEDIUM","NONE"))</f>
        <v>HIGH</v>
      </c>
      <c r="R57" s="9">
        <f>Table1[[#This Row],[Ship Date]]-Table1[[#This Row],[Order Date]]</f>
        <v>0</v>
      </c>
      <c r="S57" s="9">
        <f>VLOOKUP(Table1[[#This Row],[Region]],Table2[],2,FALSE)</f>
        <v>120000</v>
      </c>
      <c r="T57" s="9">
        <f>INDEX(Table2[Quarterly Target],MATCH(Table1[[#This Row],[Region]],Table2[[Region ]],0))</f>
        <v>120000</v>
      </c>
      <c r="U57" s="9">
        <f>RANK(Table1[[#This Row],[Sales]],Table1[Sales])</f>
        <v>181</v>
      </c>
      <c r="V57" s="21">
        <f>SUM(N$2:N58)</f>
        <v>222252.61950000003</v>
      </c>
    </row>
    <row r="58" spans="1:22" x14ac:dyDescent="0.25">
      <c r="A58" s="5" t="s">
        <v>204</v>
      </c>
      <c r="B58" s="6" t="s">
        <v>205</v>
      </c>
      <c r="C58" s="6" t="s">
        <v>205</v>
      </c>
      <c r="D58" s="7" t="s">
        <v>24</v>
      </c>
      <c r="E58" s="7" t="s">
        <v>206</v>
      </c>
      <c r="F58" s="7" t="s">
        <v>38</v>
      </c>
      <c r="G58" s="7" t="s">
        <v>82</v>
      </c>
      <c r="H58" s="7" t="s">
        <v>45</v>
      </c>
      <c r="I58" s="7" t="s">
        <v>148</v>
      </c>
      <c r="J58" s="7">
        <v>17</v>
      </c>
      <c r="K58" s="24">
        <v>314.38</v>
      </c>
      <c r="L58" s="8">
        <v>0.15</v>
      </c>
      <c r="M58" s="20">
        <v>216.17</v>
      </c>
      <c r="N58" s="21">
        <f>(Table1[[#This Row],[Quantity]]*Table1[[#This Row],[Unit Price]])*(1-Table1[[#This Row],[Discount]])</f>
        <v>4542.7910000000002</v>
      </c>
      <c r="O58" s="21">
        <f>(Table1[[#This Row],[Unit Price]]-Table1[[#This Row],[Unit Cost]])*Table1[[#This Row],[Quantity]]</f>
        <v>1669.5700000000002</v>
      </c>
      <c r="P58" s="9" t="str">
        <f t="shared" si="0"/>
        <v>Bulk</v>
      </c>
      <c r="Q58" s="9" t="str">
        <f>IF(Table1[[#This Row],[Discount]]&gt;=15%,"HIGH",IF(Table1[[#This Row],[Discount]]&gt;=55,"MEDIUM","NONE"))</f>
        <v>HIGH</v>
      </c>
      <c r="R58" s="9">
        <f>Table1[[#This Row],[Ship Date]]-Table1[[#This Row],[Order Date]]</f>
        <v>0</v>
      </c>
      <c r="S58" s="9">
        <f>VLOOKUP(Table1[[#This Row],[Region]],Table2[],2,FALSE)</f>
        <v>120000</v>
      </c>
      <c r="T58" s="9">
        <f>INDEX(Table2[Quarterly Target],MATCH(Table1[[#This Row],[Region]],Table2[[Region ]],0))</f>
        <v>120000</v>
      </c>
      <c r="U58" s="9">
        <f>RANK(Table1[[#This Row],[Sales]],Table1[Sales])</f>
        <v>101</v>
      </c>
      <c r="V58" s="21">
        <f>SUM(N$2:N59)</f>
        <v>222349.35550000003</v>
      </c>
    </row>
    <row r="59" spans="1:22" x14ac:dyDescent="0.25">
      <c r="A59" s="5" t="s">
        <v>207</v>
      </c>
      <c r="B59" s="6" t="s">
        <v>208</v>
      </c>
      <c r="C59" s="6" t="s">
        <v>209</v>
      </c>
      <c r="D59" s="7" t="s">
        <v>30</v>
      </c>
      <c r="E59" s="7" t="s">
        <v>96</v>
      </c>
      <c r="F59" s="7" t="s">
        <v>25</v>
      </c>
      <c r="G59" s="7" t="s">
        <v>19</v>
      </c>
      <c r="H59" s="7" t="s">
        <v>33</v>
      </c>
      <c r="I59" s="7" t="s">
        <v>39</v>
      </c>
      <c r="J59" s="7">
        <v>4</v>
      </c>
      <c r="K59" s="24">
        <v>30.23</v>
      </c>
      <c r="L59" s="8">
        <v>0.2</v>
      </c>
      <c r="M59" s="20">
        <v>21.84</v>
      </c>
      <c r="N59" s="21">
        <f>(Table1[[#This Row],[Quantity]]*Table1[[#This Row],[Unit Price]])*(1-Table1[[#This Row],[Discount]])</f>
        <v>96.736000000000004</v>
      </c>
      <c r="O59" s="21">
        <f>(Table1[[#This Row],[Unit Price]]-Table1[[#This Row],[Unit Cost]])*Table1[[#This Row],[Quantity]]</f>
        <v>33.56</v>
      </c>
      <c r="P59" s="9" t="str">
        <f t="shared" si="0"/>
        <v>Bulk</v>
      </c>
      <c r="Q59" s="9" t="str">
        <f>IF(Table1[[#This Row],[Discount]]&gt;=15%,"HIGH",IF(Table1[[#This Row],[Discount]]&gt;=55,"MEDIUM","NONE"))</f>
        <v>HIGH</v>
      </c>
      <c r="R59" s="9">
        <f>Table1[[#This Row],[Ship Date]]-Table1[[#This Row],[Order Date]]</f>
        <v>2</v>
      </c>
      <c r="S59" s="9">
        <f>VLOOKUP(Table1[[#This Row],[Region]],Table2[],2,FALSE)</f>
        <v>130000</v>
      </c>
      <c r="T59" s="9">
        <f>INDEX(Table2[Quarterly Target],MATCH(Table1[[#This Row],[Region]],Table2[[Region ]],0))</f>
        <v>130000</v>
      </c>
      <c r="U59" s="9">
        <f>RANK(Table1[[#This Row],[Sales]],Table1[Sales])</f>
        <v>358</v>
      </c>
      <c r="V59" s="21">
        <f>SUM(N$2:N60)</f>
        <v>222442.17550000004</v>
      </c>
    </row>
    <row r="60" spans="1:22" x14ac:dyDescent="0.25">
      <c r="A60" s="5" t="s">
        <v>210</v>
      </c>
      <c r="B60" s="6" t="s">
        <v>211</v>
      </c>
      <c r="C60" s="6" t="s">
        <v>201</v>
      </c>
      <c r="D60" s="7" t="s">
        <v>16</v>
      </c>
      <c r="E60" s="7" t="s">
        <v>112</v>
      </c>
      <c r="F60" s="7" t="s">
        <v>38</v>
      </c>
      <c r="G60" s="7" t="s">
        <v>44</v>
      </c>
      <c r="H60" s="7" t="s">
        <v>33</v>
      </c>
      <c r="I60" s="7" t="s">
        <v>153</v>
      </c>
      <c r="J60" s="7">
        <v>7</v>
      </c>
      <c r="K60" s="24">
        <v>13.26</v>
      </c>
      <c r="L60" s="8">
        <v>0</v>
      </c>
      <c r="M60" s="20">
        <v>7.89</v>
      </c>
      <c r="N60" s="21">
        <f>(Table1[[#This Row],[Quantity]]*Table1[[#This Row],[Unit Price]])*(1-Table1[[#This Row],[Discount]])</f>
        <v>92.82</v>
      </c>
      <c r="O60" s="21">
        <f>(Table1[[#This Row],[Unit Price]]-Table1[[#This Row],[Unit Cost]])*Table1[[#This Row],[Quantity]]</f>
        <v>37.590000000000003</v>
      </c>
      <c r="P60" s="9" t="str">
        <f t="shared" si="0"/>
        <v>Standard</v>
      </c>
      <c r="Q60" s="9" t="str">
        <f>IF(Table1[[#This Row],[Discount]]&gt;=15%,"HIGH",IF(Table1[[#This Row],[Discount]]&gt;=55,"MEDIUM","NONE"))</f>
        <v>NONE</v>
      </c>
      <c r="R60" s="9">
        <f>Table1[[#This Row],[Ship Date]]-Table1[[#This Row],[Order Date]]</f>
        <v>4</v>
      </c>
      <c r="S60" s="9">
        <f>VLOOKUP(Table1[[#This Row],[Region]],Table2[],2,FALSE)</f>
        <v>120000</v>
      </c>
      <c r="T60" s="9">
        <f>INDEX(Table2[Quarterly Target],MATCH(Table1[[#This Row],[Region]],Table2[[Region ]],0))</f>
        <v>120000</v>
      </c>
      <c r="U60" s="9">
        <f>RANK(Table1[[#This Row],[Sales]],Table1[Sales])</f>
        <v>362</v>
      </c>
      <c r="V60" s="21">
        <f>SUM(N$2:N61)</f>
        <v>234732.37550000005</v>
      </c>
    </row>
    <row r="61" spans="1:22" x14ac:dyDescent="0.25">
      <c r="A61" s="5" t="s">
        <v>212</v>
      </c>
      <c r="B61" s="6" t="s">
        <v>213</v>
      </c>
      <c r="C61" s="6" t="s">
        <v>213</v>
      </c>
      <c r="D61" s="7" t="s">
        <v>24</v>
      </c>
      <c r="E61" s="7" t="s">
        <v>214</v>
      </c>
      <c r="F61" s="7" t="s">
        <v>38</v>
      </c>
      <c r="G61" s="7" t="s">
        <v>50</v>
      </c>
      <c r="H61" s="7" t="s">
        <v>20</v>
      </c>
      <c r="I61" s="7" t="s">
        <v>21</v>
      </c>
      <c r="J61" s="7">
        <v>25</v>
      </c>
      <c r="K61" s="24">
        <v>614.51</v>
      </c>
      <c r="L61" s="8">
        <v>0.2</v>
      </c>
      <c r="M61" s="20">
        <v>339.86</v>
      </c>
      <c r="N61" s="21">
        <f>(Table1[[#This Row],[Quantity]]*Table1[[#This Row],[Unit Price]])*(1-Table1[[#This Row],[Discount]])</f>
        <v>12290.2</v>
      </c>
      <c r="O61" s="21">
        <f>(Table1[[#This Row],[Unit Price]]-Table1[[#This Row],[Unit Cost]])*Table1[[#This Row],[Quantity]]</f>
        <v>6866.2499999999991</v>
      </c>
      <c r="P61" s="9" t="str">
        <f t="shared" si="0"/>
        <v>Standard</v>
      </c>
      <c r="Q61" s="9" t="str">
        <f>IF(Table1[[#This Row],[Discount]]&gt;=15%,"HIGH",IF(Table1[[#This Row],[Discount]]&gt;=55,"MEDIUM","NONE"))</f>
        <v>HIGH</v>
      </c>
      <c r="R61" s="9">
        <f>Table1[[#This Row],[Ship Date]]-Table1[[#This Row],[Order Date]]</f>
        <v>0</v>
      </c>
      <c r="S61" s="9">
        <f>VLOOKUP(Table1[[#This Row],[Region]],Table2[],2,FALSE)</f>
        <v>120000</v>
      </c>
      <c r="T61" s="9">
        <f>INDEX(Table2[Quarterly Target],MATCH(Table1[[#This Row],[Region]],Table2[[Region ]],0))</f>
        <v>120000</v>
      </c>
      <c r="U61" s="9">
        <f>RANK(Table1[[#This Row],[Sales]],Table1[Sales])</f>
        <v>31</v>
      </c>
      <c r="V61" s="21">
        <f>SUM(N$2:N62)</f>
        <v>235020.30150000006</v>
      </c>
    </row>
    <row r="62" spans="1:22" x14ac:dyDescent="0.25">
      <c r="A62" s="5" t="s">
        <v>215</v>
      </c>
      <c r="B62" s="6" t="s">
        <v>216</v>
      </c>
      <c r="C62" s="6" t="s">
        <v>217</v>
      </c>
      <c r="D62" s="7" t="s">
        <v>30</v>
      </c>
      <c r="E62" s="7" t="s">
        <v>133</v>
      </c>
      <c r="F62" s="7" t="s">
        <v>25</v>
      </c>
      <c r="G62" s="7" t="s">
        <v>44</v>
      </c>
      <c r="H62" s="7" t="s">
        <v>61</v>
      </c>
      <c r="I62" s="7" t="s">
        <v>169</v>
      </c>
      <c r="J62" s="7">
        <v>4</v>
      </c>
      <c r="K62" s="24">
        <v>75.77</v>
      </c>
      <c r="L62" s="8">
        <v>0.05</v>
      </c>
      <c r="M62" s="20">
        <v>50.99</v>
      </c>
      <c r="N62" s="21">
        <f>(Table1[[#This Row],[Quantity]]*Table1[[#This Row],[Unit Price]])*(1-Table1[[#This Row],[Discount]])</f>
        <v>287.92599999999999</v>
      </c>
      <c r="O62" s="21">
        <f>(Table1[[#This Row],[Unit Price]]-Table1[[#This Row],[Unit Cost]])*Table1[[#This Row],[Quantity]]</f>
        <v>99.119999999999976</v>
      </c>
      <c r="P62" s="9" t="str">
        <f t="shared" si="0"/>
        <v>Bulk</v>
      </c>
      <c r="Q62" s="9" t="str">
        <f>IF(Table1[[#This Row],[Discount]]&gt;=15%,"HIGH",IF(Table1[[#This Row],[Discount]]&gt;=55,"MEDIUM","NONE"))</f>
        <v>NONE</v>
      </c>
      <c r="R62" s="9">
        <f>Table1[[#This Row],[Ship Date]]-Table1[[#This Row],[Order Date]]</f>
        <v>2</v>
      </c>
      <c r="S62" s="9">
        <f>VLOOKUP(Table1[[#This Row],[Region]],Table2[],2,FALSE)</f>
        <v>130000</v>
      </c>
      <c r="T62" s="9">
        <f>INDEX(Table2[Quarterly Target],MATCH(Table1[[#This Row],[Region]],Table2[[Region ]],0))</f>
        <v>130000</v>
      </c>
      <c r="U62" s="9">
        <f>RANK(Table1[[#This Row],[Sales]],Table1[Sales])</f>
        <v>281</v>
      </c>
      <c r="V62" s="21">
        <f>SUM(N$2:N63)</f>
        <v>235661.30150000006</v>
      </c>
    </row>
    <row r="63" spans="1:22" x14ac:dyDescent="0.25">
      <c r="A63" s="5" t="s">
        <v>218</v>
      </c>
      <c r="B63" s="6" t="s">
        <v>219</v>
      </c>
      <c r="C63" s="6" t="s">
        <v>219</v>
      </c>
      <c r="D63" s="7" t="s">
        <v>24</v>
      </c>
      <c r="E63" s="7" t="s">
        <v>96</v>
      </c>
      <c r="F63" s="7" t="s">
        <v>25</v>
      </c>
      <c r="G63" s="7" t="s">
        <v>97</v>
      </c>
      <c r="H63" s="7" t="s">
        <v>33</v>
      </c>
      <c r="I63" s="7" t="s">
        <v>34</v>
      </c>
      <c r="J63" s="7">
        <v>20</v>
      </c>
      <c r="K63" s="24">
        <v>32.049999999999997</v>
      </c>
      <c r="L63" s="8">
        <v>0</v>
      </c>
      <c r="M63" s="20">
        <v>23.84</v>
      </c>
      <c r="N63" s="21">
        <f>(Table1[[#This Row],[Quantity]]*Table1[[#This Row],[Unit Price]])*(1-Table1[[#This Row],[Discount]])</f>
        <v>641</v>
      </c>
      <c r="O63" s="21">
        <f>(Table1[[#This Row],[Unit Price]]-Table1[[#This Row],[Unit Cost]])*Table1[[#This Row],[Quantity]]</f>
        <v>164.19999999999993</v>
      </c>
      <c r="P63" s="9" t="str">
        <f t="shared" si="0"/>
        <v>Standard</v>
      </c>
      <c r="Q63" s="9" t="str">
        <f>IF(Table1[[#This Row],[Discount]]&gt;=15%,"HIGH",IF(Table1[[#This Row],[Discount]]&gt;=55,"MEDIUM","NONE"))</f>
        <v>NONE</v>
      </c>
      <c r="R63" s="9">
        <f>Table1[[#This Row],[Ship Date]]-Table1[[#This Row],[Order Date]]</f>
        <v>0</v>
      </c>
      <c r="S63" s="9">
        <f>VLOOKUP(Table1[[#This Row],[Region]],Table2[],2,FALSE)</f>
        <v>130000</v>
      </c>
      <c r="T63" s="9">
        <f>INDEX(Table2[Quarterly Target],MATCH(Table1[[#This Row],[Region]],Table2[[Region ]],0))</f>
        <v>130000</v>
      </c>
      <c r="U63" s="9">
        <f>RANK(Table1[[#This Row],[Sales]],Table1[Sales])</f>
        <v>209</v>
      </c>
      <c r="V63" s="21">
        <f>SUM(N$2:N64)</f>
        <v>235772.08550000007</v>
      </c>
    </row>
    <row r="64" spans="1:22" x14ac:dyDescent="0.25">
      <c r="A64" s="5" t="s">
        <v>220</v>
      </c>
      <c r="B64" s="6" t="s">
        <v>101</v>
      </c>
      <c r="C64" s="6" t="s">
        <v>101</v>
      </c>
      <c r="D64" s="7" t="s">
        <v>24</v>
      </c>
      <c r="E64" s="7" t="s">
        <v>214</v>
      </c>
      <c r="F64" s="7" t="s">
        <v>60</v>
      </c>
      <c r="G64" s="7" t="s">
        <v>26</v>
      </c>
      <c r="H64" s="7" t="s">
        <v>33</v>
      </c>
      <c r="I64" s="7" t="s">
        <v>153</v>
      </c>
      <c r="J64" s="7">
        <v>24</v>
      </c>
      <c r="K64" s="24">
        <v>5.77</v>
      </c>
      <c r="L64" s="8">
        <v>0.2</v>
      </c>
      <c r="M64" s="20">
        <v>3.47</v>
      </c>
      <c r="N64" s="21">
        <f>(Table1[[#This Row],[Quantity]]*Table1[[#This Row],[Unit Price]])*(1-Table1[[#This Row],[Discount]])</f>
        <v>110.78399999999999</v>
      </c>
      <c r="O64" s="21">
        <f>(Table1[[#This Row],[Unit Price]]-Table1[[#This Row],[Unit Cost]])*Table1[[#This Row],[Quantity]]</f>
        <v>55.199999999999989</v>
      </c>
      <c r="P64" s="9" t="str">
        <f t="shared" si="0"/>
        <v>Bulk</v>
      </c>
      <c r="Q64" s="9" t="str">
        <f>IF(Table1[[#This Row],[Discount]]&gt;=15%,"HIGH",IF(Table1[[#This Row],[Discount]]&gt;=55,"MEDIUM","NONE"))</f>
        <v>HIGH</v>
      </c>
      <c r="R64" s="9">
        <f>Table1[[#This Row],[Ship Date]]-Table1[[#This Row],[Order Date]]</f>
        <v>0</v>
      </c>
      <c r="S64" s="9">
        <f>VLOOKUP(Table1[[#This Row],[Region]],Table2[],2,FALSE)</f>
        <v>160000</v>
      </c>
      <c r="T64" s="9">
        <f>INDEX(Table2[Quarterly Target],MATCH(Table1[[#This Row],[Region]],Table2[[Region ]],0))</f>
        <v>160000</v>
      </c>
      <c r="U64" s="9">
        <f>RANK(Table1[[#This Row],[Sales]],Table1[Sales])</f>
        <v>352</v>
      </c>
      <c r="V64" s="21">
        <f>SUM(N$2:N65)</f>
        <v>236213.91550000006</v>
      </c>
    </row>
    <row r="65" spans="1:22" x14ac:dyDescent="0.25">
      <c r="A65" s="5" t="s">
        <v>221</v>
      </c>
      <c r="B65" s="6" t="s">
        <v>222</v>
      </c>
      <c r="C65" s="6" t="s">
        <v>223</v>
      </c>
      <c r="D65" s="7" t="s">
        <v>16</v>
      </c>
      <c r="E65" s="7" t="s">
        <v>78</v>
      </c>
      <c r="F65" s="7" t="s">
        <v>25</v>
      </c>
      <c r="G65" s="7" t="s">
        <v>67</v>
      </c>
      <c r="H65" s="7" t="s">
        <v>20</v>
      </c>
      <c r="I65" s="7" t="s">
        <v>113</v>
      </c>
      <c r="J65" s="7">
        <v>1</v>
      </c>
      <c r="K65" s="24">
        <v>519.79999999999995</v>
      </c>
      <c r="L65" s="8">
        <v>0.15</v>
      </c>
      <c r="M65" s="20">
        <v>363.06</v>
      </c>
      <c r="N65" s="21">
        <f>(Table1[[#This Row],[Quantity]]*Table1[[#This Row],[Unit Price]])*(1-Table1[[#This Row],[Discount]])</f>
        <v>441.82999999999993</v>
      </c>
      <c r="O65" s="21">
        <f>(Table1[[#This Row],[Unit Price]]-Table1[[#This Row],[Unit Cost]])*Table1[[#This Row],[Quantity]]</f>
        <v>156.73999999999995</v>
      </c>
      <c r="P65" s="9" t="str">
        <f t="shared" si="0"/>
        <v>Bulk</v>
      </c>
      <c r="Q65" s="9" t="str">
        <f>IF(Table1[[#This Row],[Discount]]&gt;=15%,"HIGH",IF(Table1[[#This Row],[Discount]]&gt;=55,"MEDIUM","NONE"))</f>
        <v>HIGH</v>
      </c>
      <c r="R65" s="9">
        <f>Table1[[#This Row],[Ship Date]]-Table1[[#This Row],[Order Date]]</f>
        <v>6</v>
      </c>
      <c r="S65" s="9">
        <f>VLOOKUP(Table1[[#This Row],[Region]],Table2[],2,FALSE)</f>
        <v>130000</v>
      </c>
      <c r="T65" s="9">
        <f>INDEX(Table2[Quarterly Target],MATCH(Table1[[#This Row],[Region]],Table2[[Region ]],0))</f>
        <v>130000</v>
      </c>
      <c r="U65" s="9">
        <f>RANK(Table1[[#This Row],[Sales]],Table1[Sales])</f>
        <v>236</v>
      </c>
      <c r="V65" s="21">
        <f>SUM(N$2:N66)</f>
        <v>236624.00350000005</v>
      </c>
    </row>
    <row r="66" spans="1:22" x14ac:dyDescent="0.25">
      <c r="A66" s="5" t="s">
        <v>224</v>
      </c>
      <c r="B66" s="6" t="s">
        <v>225</v>
      </c>
      <c r="C66" s="6" t="s">
        <v>226</v>
      </c>
      <c r="D66" s="7" t="s">
        <v>30</v>
      </c>
      <c r="E66" s="7" t="s">
        <v>49</v>
      </c>
      <c r="F66" s="7" t="s">
        <v>60</v>
      </c>
      <c r="G66" s="7" t="s">
        <v>19</v>
      </c>
      <c r="H66" s="7" t="s">
        <v>33</v>
      </c>
      <c r="I66" s="7" t="s">
        <v>39</v>
      </c>
      <c r="J66" s="7">
        <v>21</v>
      </c>
      <c r="K66" s="24">
        <v>24.41</v>
      </c>
      <c r="L66" s="8">
        <v>0.2</v>
      </c>
      <c r="M66" s="20">
        <v>19.12</v>
      </c>
      <c r="N66" s="21">
        <f>(Table1[[#This Row],[Quantity]]*Table1[[#This Row],[Unit Price]])*(1-Table1[[#This Row],[Discount]])</f>
        <v>410.08800000000002</v>
      </c>
      <c r="O66" s="21">
        <f>(Table1[[#This Row],[Unit Price]]-Table1[[#This Row],[Unit Cost]])*Table1[[#This Row],[Quantity]]</f>
        <v>111.08999999999997</v>
      </c>
      <c r="P66" s="9" t="str">
        <f t="shared" ref="P66:P129" si="1">IF(J65&gt;10,"Bulk","Standard")</f>
        <v>Standard</v>
      </c>
      <c r="Q66" s="9" t="str">
        <f>IF(Table1[[#This Row],[Discount]]&gt;=15%,"HIGH",IF(Table1[[#This Row],[Discount]]&gt;=55,"MEDIUM","NONE"))</f>
        <v>HIGH</v>
      </c>
      <c r="R66" s="9">
        <f>Table1[[#This Row],[Ship Date]]-Table1[[#This Row],[Order Date]]</f>
        <v>2</v>
      </c>
      <c r="S66" s="9">
        <f>VLOOKUP(Table1[[#This Row],[Region]],Table2[],2,FALSE)</f>
        <v>160000</v>
      </c>
      <c r="T66" s="9">
        <f>INDEX(Table2[Quarterly Target],MATCH(Table1[[#This Row],[Region]],Table2[[Region ]],0))</f>
        <v>160000</v>
      </c>
      <c r="U66" s="9">
        <f>RANK(Table1[[#This Row],[Sales]],Table1[Sales])</f>
        <v>244</v>
      </c>
      <c r="V66" s="21">
        <f>SUM(N$2:N67)</f>
        <v>240115.37350000005</v>
      </c>
    </row>
    <row r="67" spans="1:22" x14ac:dyDescent="0.25">
      <c r="A67" s="5" t="s">
        <v>227</v>
      </c>
      <c r="B67" s="6" t="s">
        <v>228</v>
      </c>
      <c r="C67" s="6" t="s">
        <v>229</v>
      </c>
      <c r="D67" s="7" t="s">
        <v>16</v>
      </c>
      <c r="E67" s="7" t="s">
        <v>59</v>
      </c>
      <c r="F67" s="7" t="s">
        <v>18</v>
      </c>
      <c r="G67" s="7" t="s">
        <v>67</v>
      </c>
      <c r="H67" s="7" t="s">
        <v>45</v>
      </c>
      <c r="I67" s="7" t="s">
        <v>68</v>
      </c>
      <c r="J67" s="7">
        <v>6</v>
      </c>
      <c r="K67" s="24">
        <v>646.54999999999995</v>
      </c>
      <c r="L67" s="8">
        <v>0.1</v>
      </c>
      <c r="M67" s="20">
        <v>476.66</v>
      </c>
      <c r="N67" s="21">
        <f>(Table1[[#This Row],[Quantity]]*Table1[[#This Row],[Unit Price]])*(1-Table1[[#This Row],[Discount]])</f>
        <v>3491.37</v>
      </c>
      <c r="O67" s="21">
        <f>(Table1[[#This Row],[Unit Price]]-Table1[[#This Row],[Unit Cost]])*Table1[[#This Row],[Quantity]]</f>
        <v>1019.3399999999996</v>
      </c>
      <c r="P67" s="9" t="str">
        <f t="shared" si="1"/>
        <v>Bulk</v>
      </c>
      <c r="Q67" s="9" t="str">
        <f>IF(Table1[[#This Row],[Discount]]&gt;=15%,"HIGH",IF(Table1[[#This Row],[Discount]]&gt;=55,"MEDIUM","NONE"))</f>
        <v>NONE</v>
      </c>
      <c r="R67" s="9">
        <f>Table1[[#This Row],[Ship Date]]-Table1[[#This Row],[Order Date]]</f>
        <v>6</v>
      </c>
      <c r="S67" s="9">
        <f>VLOOKUP(Table1[[#This Row],[Region]],Table2[],2,FALSE)</f>
        <v>140000</v>
      </c>
      <c r="T67" s="9">
        <f>INDEX(Table2[Quarterly Target],MATCH(Table1[[#This Row],[Region]],Table2[[Region ]],0))</f>
        <v>140000</v>
      </c>
      <c r="U67" s="9">
        <f>RANK(Table1[[#This Row],[Sales]],Table1[Sales])</f>
        <v>114</v>
      </c>
      <c r="V67" s="21">
        <f>SUM(N$2:N68)</f>
        <v>240280.21750000006</v>
      </c>
    </row>
    <row r="68" spans="1:22" x14ac:dyDescent="0.25">
      <c r="A68" s="5" t="s">
        <v>230</v>
      </c>
      <c r="B68" s="6" t="s">
        <v>231</v>
      </c>
      <c r="C68" s="6" t="s">
        <v>232</v>
      </c>
      <c r="D68" s="7" t="s">
        <v>30</v>
      </c>
      <c r="E68" s="7" t="s">
        <v>37</v>
      </c>
      <c r="F68" s="7" t="s">
        <v>60</v>
      </c>
      <c r="G68" s="7" t="s">
        <v>82</v>
      </c>
      <c r="H68" s="7" t="s">
        <v>61</v>
      </c>
      <c r="I68" s="7" t="s">
        <v>169</v>
      </c>
      <c r="J68" s="7">
        <v>3</v>
      </c>
      <c r="K68" s="24">
        <v>57.84</v>
      </c>
      <c r="L68" s="8">
        <v>0.05</v>
      </c>
      <c r="M68" s="20">
        <v>42.43</v>
      </c>
      <c r="N68" s="21">
        <f>(Table1[[#This Row],[Quantity]]*Table1[[#This Row],[Unit Price]])*(1-Table1[[#This Row],[Discount]])</f>
        <v>164.84399999999999</v>
      </c>
      <c r="O68" s="21">
        <f>(Table1[[#This Row],[Unit Price]]-Table1[[#This Row],[Unit Cost]])*Table1[[#This Row],[Quantity]]</f>
        <v>46.230000000000011</v>
      </c>
      <c r="P68" s="9" t="str">
        <f t="shared" si="1"/>
        <v>Standard</v>
      </c>
      <c r="Q68" s="9" t="str">
        <f>IF(Table1[[#This Row],[Discount]]&gt;=15%,"HIGH",IF(Table1[[#This Row],[Discount]]&gt;=55,"MEDIUM","NONE"))</f>
        <v>NONE</v>
      </c>
      <c r="R68" s="9">
        <f>Table1[[#This Row],[Ship Date]]-Table1[[#This Row],[Order Date]]</f>
        <v>2</v>
      </c>
      <c r="S68" s="9">
        <f>VLOOKUP(Table1[[#This Row],[Region]],Table2[],2,FALSE)</f>
        <v>160000</v>
      </c>
      <c r="T68" s="9">
        <f>INDEX(Table2[Quarterly Target],MATCH(Table1[[#This Row],[Region]],Table2[[Region ]],0))</f>
        <v>160000</v>
      </c>
      <c r="U68" s="9">
        <f>RANK(Table1[[#This Row],[Sales]],Table1[Sales])</f>
        <v>327</v>
      </c>
      <c r="V68" s="21">
        <f>SUM(N$2:N69)</f>
        <v>241529.61750000005</v>
      </c>
    </row>
    <row r="69" spans="1:22" x14ac:dyDescent="0.25">
      <c r="A69" s="5" t="s">
        <v>233</v>
      </c>
      <c r="B69" s="6" t="s">
        <v>234</v>
      </c>
      <c r="C69" s="6" t="s">
        <v>234</v>
      </c>
      <c r="D69" s="7" t="s">
        <v>24</v>
      </c>
      <c r="E69" s="7" t="s">
        <v>91</v>
      </c>
      <c r="F69" s="7" t="s">
        <v>38</v>
      </c>
      <c r="G69" s="7" t="s">
        <v>44</v>
      </c>
      <c r="H69" s="7" t="s">
        <v>45</v>
      </c>
      <c r="I69" s="7" t="s">
        <v>83</v>
      </c>
      <c r="J69" s="7">
        <v>2</v>
      </c>
      <c r="K69" s="24">
        <v>624.70000000000005</v>
      </c>
      <c r="L69" s="8">
        <v>0</v>
      </c>
      <c r="M69" s="20">
        <v>417.07</v>
      </c>
      <c r="N69" s="21">
        <f>(Table1[[#This Row],[Quantity]]*Table1[[#This Row],[Unit Price]])*(1-Table1[[#This Row],[Discount]])</f>
        <v>1249.4000000000001</v>
      </c>
      <c r="O69" s="21">
        <f>(Table1[[#This Row],[Unit Price]]-Table1[[#This Row],[Unit Cost]])*Table1[[#This Row],[Quantity]]</f>
        <v>415.2600000000001</v>
      </c>
      <c r="P69" s="9" t="str">
        <f t="shared" si="1"/>
        <v>Standard</v>
      </c>
      <c r="Q69" s="9" t="str">
        <f>IF(Table1[[#This Row],[Discount]]&gt;=15%,"HIGH",IF(Table1[[#This Row],[Discount]]&gt;=55,"MEDIUM","NONE"))</f>
        <v>NONE</v>
      </c>
      <c r="R69" s="9">
        <f>Table1[[#This Row],[Ship Date]]-Table1[[#This Row],[Order Date]]</f>
        <v>0</v>
      </c>
      <c r="S69" s="9">
        <f>VLOOKUP(Table1[[#This Row],[Region]],Table2[],2,FALSE)</f>
        <v>120000</v>
      </c>
      <c r="T69" s="9">
        <f>INDEX(Table2[Quarterly Target],MATCH(Table1[[#This Row],[Region]],Table2[[Region ]],0))</f>
        <v>120000</v>
      </c>
      <c r="U69" s="9">
        <f>RANK(Table1[[#This Row],[Sales]],Table1[Sales])</f>
        <v>165</v>
      </c>
      <c r="V69" s="21">
        <f>SUM(N$2:N70)</f>
        <v>241922.09750000006</v>
      </c>
    </row>
    <row r="70" spans="1:22" x14ac:dyDescent="0.25">
      <c r="A70" s="5" t="s">
        <v>235</v>
      </c>
      <c r="B70" s="6" t="s">
        <v>236</v>
      </c>
      <c r="C70" s="6" t="s">
        <v>237</v>
      </c>
      <c r="D70" s="7" t="s">
        <v>30</v>
      </c>
      <c r="E70" s="7" t="s">
        <v>66</v>
      </c>
      <c r="F70" s="7" t="s">
        <v>43</v>
      </c>
      <c r="G70" s="7" t="s">
        <v>32</v>
      </c>
      <c r="H70" s="7" t="s">
        <v>61</v>
      </c>
      <c r="I70" s="7" t="s">
        <v>62</v>
      </c>
      <c r="J70" s="7">
        <v>11</v>
      </c>
      <c r="K70" s="24">
        <v>35.68</v>
      </c>
      <c r="L70" s="8">
        <v>0</v>
      </c>
      <c r="M70" s="20">
        <v>27.27</v>
      </c>
      <c r="N70" s="21">
        <f>(Table1[[#This Row],[Quantity]]*Table1[[#This Row],[Unit Price]])*(1-Table1[[#This Row],[Discount]])</f>
        <v>392.48</v>
      </c>
      <c r="O70" s="21">
        <f>(Table1[[#This Row],[Unit Price]]-Table1[[#This Row],[Unit Cost]])*Table1[[#This Row],[Quantity]]</f>
        <v>92.51</v>
      </c>
      <c r="P70" s="9" t="str">
        <f t="shared" si="1"/>
        <v>Standard</v>
      </c>
      <c r="Q70" s="9" t="str">
        <f>IF(Table1[[#This Row],[Discount]]&gt;=15%,"HIGH",IF(Table1[[#This Row],[Discount]]&gt;=55,"MEDIUM","NONE"))</f>
        <v>NONE</v>
      </c>
      <c r="R70" s="9">
        <f>Table1[[#This Row],[Ship Date]]-Table1[[#This Row],[Order Date]]</f>
        <v>3</v>
      </c>
      <c r="S70" s="9">
        <f>VLOOKUP(Table1[[#This Row],[Region]],Table2[],2,FALSE)</f>
        <v>150000</v>
      </c>
      <c r="T70" s="9">
        <f>INDEX(Table2[Quarterly Target],MATCH(Table1[[#This Row],[Region]],Table2[[Region ]],0))</f>
        <v>150000</v>
      </c>
      <c r="U70" s="9">
        <f>RANK(Table1[[#This Row],[Sales]],Table1[Sales])</f>
        <v>248</v>
      </c>
      <c r="V70" s="21">
        <f>SUM(N$2:N71)</f>
        <v>242027.57750000007</v>
      </c>
    </row>
    <row r="71" spans="1:22" x14ac:dyDescent="0.25">
      <c r="A71" s="5" t="s">
        <v>238</v>
      </c>
      <c r="B71" s="6" t="s">
        <v>239</v>
      </c>
      <c r="C71" s="6" t="s">
        <v>240</v>
      </c>
      <c r="D71" s="7" t="s">
        <v>30</v>
      </c>
      <c r="E71" s="7" t="s">
        <v>122</v>
      </c>
      <c r="F71" s="7" t="s">
        <v>60</v>
      </c>
      <c r="G71" s="7" t="s">
        <v>26</v>
      </c>
      <c r="H71" s="7" t="s">
        <v>61</v>
      </c>
      <c r="I71" s="7" t="s">
        <v>169</v>
      </c>
      <c r="J71" s="7">
        <v>3</v>
      </c>
      <c r="K71" s="24">
        <v>35.159999999999997</v>
      </c>
      <c r="L71" s="8">
        <v>0</v>
      </c>
      <c r="M71" s="20">
        <v>20.36</v>
      </c>
      <c r="N71" s="21">
        <f>(Table1[[#This Row],[Quantity]]*Table1[[#This Row],[Unit Price]])*(1-Table1[[#This Row],[Discount]])</f>
        <v>105.47999999999999</v>
      </c>
      <c r="O71" s="21">
        <f>(Table1[[#This Row],[Unit Price]]-Table1[[#This Row],[Unit Cost]])*Table1[[#This Row],[Quantity]]</f>
        <v>44.399999999999991</v>
      </c>
      <c r="P71" s="9" t="str">
        <f t="shared" si="1"/>
        <v>Bulk</v>
      </c>
      <c r="Q71" s="9" t="str">
        <f>IF(Table1[[#This Row],[Discount]]&gt;=15%,"HIGH",IF(Table1[[#This Row],[Discount]]&gt;=55,"MEDIUM","NONE"))</f>
        <v>NONE</v>
      </c>
      <c r="R71" s="9">
        <f>Table1[[#This Row],[Ship Date]]-Table1[[#This Row],[Order Date]]</f>
        <v>2</v>
      </c>
      <c r="S71" s="9">
        <f>VLOOKUP(Table1[[#This Row],[Region]],Table2[],2,FALSE)</f>
        <v>160000</v>
      </c>
      <c r="T71" s="9">
        <f>INDEX(Table2[Quarterly Target],MATCH(Table1[[#This Row],[Region]],Table2[[Region ]],0))</f>
        <v>160000</v>
      </c>
      <c r="U71" s="9">
        <f>RANK(Table1[[#This Row],[Sales]],Table1[Sales])</f>
        <v>356</v>
      </c>
      <c r="V71" s="21">
        <f>SUM(N$2:N72)</f>
        <v>243212.22750000007</v>
      </c>
    </row>
    <row r="72" spans="1:22" x14ac:dyDescent="0.25">
      <c r="A72" s="5" t="s">
        <v>241</v>
      </c>
      <c r="B72" s="6" t="s">
        <v>242</v>
      </c>
      <c r="C72" s="6" t="s">
        <v>242</v>
      </c>
      <c r="D72" s="7" t="s">
        <v>24</v>
      </c>
      <c r="E72" s="7" t="s">
        <v>87</v>
      </c>
      <c r="F72" s="7" t="s">
        <v>43</v>
      </c>
      <c r="G72" s="7" t="s">
        <v>32</v>
      </c>
      <c r="H72" s="7" t="s">
        <v>61</v>
      </c>
      <c r="I72" s="7" t="s">
        <v>62</v>
      </c>
      <c r="J72" s="7">
        <v>25</v>
      </c>
      <c r="K72" s="24">
        <v>49.88</v>
      </c>
      <c r="L72" s="8">
        <v>0.05</v>
      </c>
      <c r="M72" s="20">
        <v>36.909999999999997</v>
      </c>
      <c r="N72" s="21">
        <f>(Table1[[#This Row],[Quantity]]*Table1[[#This Row],[Unit Price]])*(1-Table1[[#This Row],[Discount]])</f>
        <v>1184.6499999999999</v>
      </c>
      <c r="O72" s="21">
        <f>(Table1[[#This Row],[Unit Price]]-Table1[[#This Row],[Unit Cost]])*Table1[[#This Row],[Quantity]]</f>
        <v>324.25000000000017</v>
      </c>
      <c r="P72" s="9" t="str">
        <f t="shared" si="1"/>
        <v>Standard</v>
      </c>
      <c r="Q72" s="9" t="str">
        <f>IF(Table1[[#This Row],[Discount]]&gt;=15%,"HIGH",IF(Table1[[#This Row],[Discount]]&gt;=55,"MEDIUM","NONE"))</f>
        <v>NONE</v>
      </c>
      <c r="R72" s="9">
        <f>Table1[[#This Row],[Ship Date]]-Table1[[#This Row],[Order Date]]</f>
        <v>0</v>
      </c>
      <c r="S72" s="9">
        <f>VLOOKUP(Table1[[#This Row],[Region]],Table2[],2,FALSE)</f>
        <v>150000</v>
      </c>
      <c r="T72" s="9">
        <f>INDEX(Table2[Quarterly Target],MATCH(Table1[[#This Row],[Region]],Table2[[Region ]],0))</f>
        <v>150000</v>
      </c>
      <c r="U72" s="9">
        <f>RANK(Table1[[#This Row],[Sales]],Table1[Sales])</f>
        <v>168</v>
      </c>
      <c r="V72" s="21">
        <f>SUM(N$2:N73)</f>
        <v>253934.19750000007</v>
      </c>
    </row>
    <row r="73" spans="1:22" x14ac:dyDescent="0.25">
      <c r="A73" s="5" t="s">
        <v>243</v>
      </c>
      <c r="B73" s="6" t="s">
        <v>244</v>
      </c>
      <c r="C73" s="6" t="s">
        <v>245</v>
      </c>
      <c r="D73" s="7" t="s">
        <v>16</v>
      </c>
      <c r="E73" s="7" t="s">
        <v>66</v>
      </c>
      <c r="F73" s="7" t="s">
        <v>60</v>
      </c>
      <c r="G73" s="7" t="s">
        <v>67</v>
      </c>
      <c r="H73" s="7" t="s">
        <v>45</v>
      </c>
      <c r="I73" s="7" t="s">
        <v>148</v>
      </c>
      <c r="J73" s="7">
        <v>21</v>
      </c>
      <c r="K73" s="24">
        <v>510.57</v>
      </c>
      <c r="L73" s="8">
        <v>0</v>
      </c>
      <c r="M73" s="20">
        <v>371.41</v>
      </c>
      <c r="N73" s="21">
        <f>(Table1[[#This Row],[Quantity]]*Table1[[#This Row],[Unit Price]])*(1-Table1[[#This Row],[Discount]])</f>
        <v>10721.97</v>
      </c>
      <c r="O73" s="21">
        <f>(Table1[[#This Row],[Unit Price]]-Table1[[#This Row],[Unit Cost]])*Table1[[#This Row],[Quantity]]</f>
        <v>2922.3599999999992</v>
      </c>
      <c r="P73" s="9" t="str">
        <f t="shared" si="1"/>
        <v>Bulk</v>
      </c>
      <c r="Q73" s="9" t="str">
        <f>IF(Table1[[#This Row],[Discount]]&gt;=15%,"HIGH",IF(Table1[[#This Row],[Discount]]&gt;=55,"MEDIUM","NONE"))</f>
        <v>NONE</v>
      </c>
      <c r="R73" s="9">
        <f>Table1[[#This Row],[Ship Date]]-Table1[[#This Row],[Order Date]]</f>
        <v>6</v>
      </c>
      <c r="S73" s="9">
        <f>VLOOKUP(Table1[[#This Row],[Region]],Table2[],2,FALSE)</f>
        <v>160000</v>
      </c>
      <c r="T73" s="9">
        <f>INDEX(Table2[Quarterly Target],MATCH(Table1[[#This Row],[Region]],Table2[[Region ]],0))</f>
        <v>160000</v>
      </c>
      <c r="U73" s="9">
        <f>RANK(Table1[[#This Row],[Sales]],Table1[Sales])</f>
        <v>40</v>
      </c>
      <c r="V73" s="21">
        <f>SUM(N$2:N74)</f>
        <v>255461.76900000006</v>
      </c>
    </row>
    <row r="74" spans="1:22" x14ac:dyDescent="0.25">
      <c r="A74" s="5" t="s">
        <v>246</v>
      </c>
      <c r="B74" s="6" t="s">
        <v>247</v>
      </c>
      <c r="C74" s="6" t="s">
        <v>248</v>
      </c>
      <c r="D74" s="7" t="s">
        <v>16</v>
      </c>
      <c r="E74" s="7" t="s">
        <v>96</v>
      </c>
      <c r="F74" s="7" t="s">
        <v>25</v>
      </c>
      <c r="G74" s="7" t="s">
        <v>82</v>
      </c>
      <c r="H74" s="7" t="s">
        <v>61</v>
      </c>
      <c r="I74" s="7" t="s">
        <v>106</v>
      </c>
      <c r="J74" s="7">
        <v>21</v>
      </c>
      <c r="K74" s="24">
        <v>76.569999999999993</v>
      </c>
      <c r="L74" s="8">
        <v>0.05</v>
      </c>
      <c r="M74" s="20">
        <v>59.97</v>
      </c>
      <c r="N74" s="21">
        <f>(Table1[[#This Row],[Quantity]]*Table1[[#This Row],[Unit Price]])*(1-Table1[[#This Row],[Discount]])</f>
        <v>1527.5714999999998</v>
      </c>
      <c r="O74" s="21">
        <f>(Table1[[#This Row],[Unit Price]]-Table1[[#This Row],[Unit Cost]])*Table1[[#This Row],[Quantity]]</f>
        <v>348.59999999999991</v>
      </c>
      <c r="P74" s="9" t="str">
        <f t="shared" si="1"/>
        <v>Bulk</v>
      </c>
      <c r="Q74" s="9" t="str">
        <f>IF(Table1[[#This Row],[Discount]]&gt;=15%,"HIGH",IF(Table1[[#This Row],[Discount]]&gt;=55,"MEDIUM","NONE"))</f>
        <v>NONE</v>
      </c>
      <c r="R74" s="9">
        <f>Table1[[#This Row],[Ship Date]]-Table1[[#This Row],[Order Date]]</f>
        <v>6</v>
      </c>
      <c r="S74" s="9">
        <f>VLOOKUP(Table1[[#This Row],[Region]],Table2[],2,FALSE)</f>
        <v>130000</v>
      </c>
      <c r="T74" s="9">
        <f>INDEX(Table2[Quarterly Target],MATCH(Table1[[#This Row],[Region]],Table2[[Region ]],0))</f>
        <v>130000</v>
      </c>
      <c r="U74" s="9">
        <f>RANK(Table1[[#This Row],[Sales]],Table1[Sales])</f>
        <v>149</v>
      </c>
      <c r="V74" s="21">
        <f>SUM(N$2:N75)</f>
        <v>255989.39400000006</v>
      </c>
    </row>
    <row r="75" spans="1:22" x14ac:dyDescent="0.25">
      <c r="A75" s="5" t="s">
        <v>249</v>
      </c>
      <c r="B75" s="6" t="s">
        <v>250</v>
      </c>
      <c r="C75" s="6" t="s">
        <v>251</v>
      </c>
      <c r="D75" s="7" t="s">
        <v>30</v>
      </c>
      <c r="E75" s="7" t="s">
        <v>75</v>
      </c>
      <c r="F75" s="7" t="s">
        <v>25</v>
      </c>
      <c r="G75" s="7" t="s">
        <v>50</v>
      </c>
      <c r="H75" s="7" t="s">
        <v>61</v>
      </c>
      <c r="I75" s="7" t="s">
        <v>62</v>
      </c>
      <c r="J75" s="7">
        <v>7</v>
      </c>
      <c r="K75" s="24">
        <v>83.75</v>
      </c>
      <c r="L75" s="8">
        <v>0.1</v>
      </c>
      <c r="M75" s="20">
        <v>61.69</v>
      </c>
      <c r="N75" s="21">
        <f>(Table1[[#This Row],[Quantity]]*Table1[[#This Row],[Unit Price]])*(1-Table1[[#This Row],[Discount]])</f>
        <v>527.625</v>
      </c>
      <c r="O75" s="21">
        <f>(Table1[[#This Row],[Unit Price]]-Table1[[#This Row],[Unit Cost]])*Table1[[#This Row],[Quantity]]</f>
        <v>154.42000000000002</v>
      </c>
      <c r="P75" s="9" t="str">
        <f t="shared" si="1"/>
        <v>Bulk</v>
      </c>
      <c r="Q75" s="9" t="str">
        <f>IF(Table1[[#This Row],[Discount]]&gt;=15%,"HIGH",IF(Table1[[#This Row],[Discount]]&gt;=55,"MEDIUM","NONE"))</f>
        <v>NONE</v>
      </c>
      <c r="R75" s="9">
        <f>Table1[[#This Row],[Ship Date]]-Table1[[#This Row],[Order Date]]</f>
        <v>2</v>
      </c>
      <c r="S75" s="9">
        <f>VLOOKUP(Table1[[#This Row],[Region]],Table2[],2,FALSE)</f>
        <v>130000</v>
      </c>
      <c r="T75" s="9">
        <f>INDEX(Table2[Quarterly Target],MATCH(Table1[[#This Row],[Region]],Table2[[Region ]],0))</f>
        <v>130000</v>
      </c>
      <c r="U75" s="9">
        <f>RANK(Table1[[#This Row],[Sales]],Table1[Sales])</f>
        <v>220</v>
      </c>
      <c r="V75" s="21">
        <f>SUM(N$2:N76)</f>
        <v>256721.20200000005</v>
      </c>
    </row>
    <row r="76" spans="1:22" x14ac:dyDescent="0.25">
      <c r="A76" s="5" t="s">
        <v>252</v>
      </c>
      <c r="B76" s="6" t="s">
        <v>253</v>
      </c>
      <c r="C76" s="6" t="s">
        <v>254</v>
      </c>
      <c r="D76" s="7" t="s">
        <v>30</v>
      </c>
      <c r="E76" s="7" t="s">
        <v>37</v>
      </c>
      <c r="F76" s="7" t="s">
        <v>38</v>
      </c>
      <c r="G76" s="7" t="s">
        <v>26</v>
      </c>
      <c r="H76" s="7" t="s">
        <v>61</v>
      </c>
      <c r="I76" s="7" t="s">
        <v>169</v>
      </c>
      <c r="J76" s="7">
        <v>24</v>
      </c>
      <c r="K76" s="24">
        <v>33.880000000000003</v>
      </c>
      <c r="L76" s="8">
        <v>0.1</v>
      </c>
      <c r="M76" s="20">
        <v>23.55</v>
      </c>
      <c r="N76" s="21">
        <f>(Table1[[#This Row],[Quantity]]*Table1[[#This Row],[Unit Price]])*(1-Table1[[#This Row],[Discount]])</f>
        <v>731.80800000000011</v>
      </c>
      <c r="O76" s="21">
        <f>(Table1[[#This Row],[Unit Price]]-Table1[[#This Row],[Unit Cost]])*Table1[[#This Row],[Quantity]]</f>
        <v>247.92000000000004</v>
      </c>
      <c r="P76" s="9" t="str">
        <f t="shared" si="1"/>
        <v>Standard</v>
      </c>
      <c r="Q76" s="9" t="str">
        <f>IF(Table1[[#This Row],[Discount]]&gt;=15%,"HIGH",IF(Table1[[#This Row],[Discount]]&gt;=55,"MEDIUM","NONE"))</f>
        <v>NONE</v>
      </c>
      <c r="R76" s="9">
        <f>Table1[[#This Row],[Ship Date]]-Table1[[#This Row],[Order Date]]</f>
        <v>2</v>
      </c>
      <c r="S76" s="9">
        <f>VLOOKUP(Table1[[#This Row],[Region]],Table2[],2,FALSE)</f>
        <v>120000</v>
      </c>
      <c r="T76" s="9">
        <f>INDEX(Table2[Quarterly Target],MATCH(Table1[[#This Row],[Region]],Table2[[Region ]],0))</f>
        <v>120000</v>
      </c>
      <c r="U76" s="9">
        <f>RANK(Table1[[#This Row],[Sales]],Table1[Sales])</f>
        <v>199</v>
      </c>
      <c r="V76" s="21">
        <f>SUM(N$2:N77)</f>
        <v>257465.18150000004</v>
      </c>
    </row>
    <row r="77" spans="1:22" x14ac:dyDescent="0.25">
      <c r="A77" s="5" t="s">
        <v>255</v>
      </c>
      <c r="B77" s="6" t="s">
        <v>256</v>
      </c>
      <c r="C77" s="6" t="s">
        <v>257</v>
      </c>
      <c r="D77" s="7" t="s">
        <v>30</v>
      </c>
      <c r="E77" s="7" t="s">
        <v>122</v>
      </c>
      <c r="F77" s="7" t="s">
        <v>18</v>
      </c>
      <c r="G77" s="7" t="s">
        <v>97</v>
      </c>
      <c r="H77" s="7" t="s">
        <v>61</v>
      </c>
      <c r="I77" s="7" t="s">
        <v>169</v>
      </c>
      <c r="J77" s="7">
        <v>11</v>
      </c>
      <c r="K77" s="24">
        <v>79.569999999999993</v>
      </c>
      <c r="L77" s="8">
        <v>0.15</v>
      </c>
      <c r="M77" s="20">
        <v>48.51</v>
      </c>
      <c r="N77" s="21">
        <f>(Table1[[#This Row],[Quantity]]*Table1[[#This Row],[Unit Price]])*(1-Table1[[#This Row],[Discount]])</f>
        <v>743.97949999999992</v>
      </c>
      <c r="O77" s="21">
        <f>(Table1[[#This Row],[Unit Price]]-Table1[[#This Row],[Unit Cost]])*Table1[[#This Row],[Quantity]]</f>
        <v>341.65999999999997</v>
      </c>
      <c r="P77" s="9" t="str">
        <f t="shared" si="1"/>
        <v>Bulk</v>
      </c>
      <c r="Q77" s="9" t="str">
        <f>IF(Table1[[#This Row],[Discount]]&gt;=15%,"HIGH",IF(Table1[[#This Row],[Discount]]&gt;=55,"MEDIUM","NONE"))</f>
        <v>HIGH</v>
      </c>
      <c r="R77" s="9">
        <f>Table1[[#This Row],[Ship Date]]-Table1[[#This Row],[Order Date]]</f>
        <v>2</v>
      </c>
      <c r="S77" s="9">
        <f>VLOOKUP(Table1[[#This Row],[Region]],Table2[],2,FALSE)</f>
        <v>140000</v>
      </c>
      <c r="T77" s="9">
        <f>INDEX(Table2[Quarterly Target],MATCH(Table1[[#This Row],[Region]],Table2[[Region ]],0))</f>
        <v>140000</v>
      </c>
      <c r="U77" s="9">
        <f>RANK(Table1[[#This Row],[Sales]],Table1[Sales])</f>
        <v>197</v>
      </c>
      <c r="V77" s="21">
        <f>SUM(N$2:N78)</f>
        <v>280965.08450000006</v>
      </c>
    </row>
    <row r="78" spans="1:22" x14ac:dyDescent="0.25">
      <c r="A78" s="5" t="s">
        <v>258</v>
      </c>
      <c r="B78" s="6" t="s">
        <v>259</v>
      </c>
      <c r="C78" s="6" t="s">
        <v>259</v>
      </c>
      <c r="D78" s="7" t="s">
        <v>24</v>
      </c>
      <c r="E78" s="7" t="s">
        <v>55</v>
      </c>
      <c r="F78" s="7" t="s">
        <v>60</v>
      </c>
      <c r="G78" s="7" t="s">
        <v>97</v>
      </c>
      <c r="H78" s="7" t="s">
        <v>20</v>
      </c>
      <c r="I78" s="7" t="s">
        <v>134</v>
      </c>
      <c r="J78" s="7">
        <v>21</v>
      </c>
      <c r="K78" s="24">
        <v>1177.94</v>
      </c>
      <c r="L78" s="8">
        <v>0.05</v>
      </c>
      <c r="M78" s="20">
        <v>931.99</v>
      </c>
      <c r="N78" s="21">
        <f>(Table1[[#This Row],[Quantity]]*Table1[[#This Row],[Unit Price]])*(1-Table1[[#This Row],[Discount]])</f>
        <v>23499.903000000002</v>
      </c>
      <c r="O78" s="21">
        <f>(Table1[[#This Row],[Unit Price]]-Table1[[#This Row],[Unit Cost]])*Table1[[#This Row],[Quantity]]</f>
        <v>5164.9500000000007</v>
      </c>
      <c r="P78" s="9" t="str">
        <f t="shared" si="1"/>
        <v>Bulk</v>
      </c>
      <c r="Q78" s="9" t="str">
        <f>IF(Table1[[#This Row],[Discount]]&gt;=15%,"HIGH",IF(Table1[[#This Row],[Discount]]&gt;=55,"MEDIUM","NONE"))</f>
        <v>NONE</v>
      </c>
      <c r="R78" s="9">
        <f>Table1[[#This Row],[Ship Date]]-Table1[[#This Row],[Order Date]]</f>
        <v>0</v>
      </c>
      <c r="S78" s="9">
        <f>VLOOKUP(Table1[[#This Row],[Region]],Table2[],2,FALSE)</f>
        <v>160000</v>
      </c>
      <c r="T78" s="9">
        <f>INDEX(Table2[Quarterly Target],MATCH(Table1[[#This Row],[Region]],Table2[[Region ]],0))</f>
        <v>160000</v>
      </c>
      <c r="U78" s="9">
        <f>RANK(Table1[[#This Row],[Sales]],Table1[Sales])</f>
        <v>3</v>
      </c>
      <c r="V78" s="21">
        <f>SUM(N$2:N79)</f>
        <v>281146.98450000008</v>
      </c>
    </row>
    <row r="79" spans="1:22" x14ac:dyDescent="0.25">
      <c r="A79" s="5" t="s">
        <v>260</v>
      </c>
      <c r="B79" s="6" t="s">
        <v>261</v>
      </c>
      <c r="C79" s="6" t="s">
        <v>261</v>
      </c>
      <c r="D79" s="7" t="s">
        <v>24</v>
      </c>
      <c r="E79" s="7" t="s">
        <v>75</v>
      </c>
      <c r="F79" s="7" t="s">
        <v>38</v>
      </c>
      <c r="G79" s="7" t="s">
        <v>26</v>
      </c>
      <c r="H79" s="7" t="s">
        <v>61</v>
      </c>
      <c r="I79" s="7" t="s">
        <v>106</v>
      </c>
      <c r="J79" s="7">
        <v>5</v>
      </c>
      <c r="K79" s="24">
        <v>42.8</v>
      </c>
      <c r="L79" s="8">
        <v>0.15</v>
      </c>
      <c r="M79" s="20">
        <v>33.92</v>
      </c>
      <c r="N79" s="21">
        <f>(Table1[[#This Row],[Quantity]]*Table1[[#This Row],[Unit Price]])*(1-Table1[[#This Row],[Discount]])</f>
        <v>181.9</v>
      </c>
      <c r="O79" s="21">
        <f>(Table1[[#This Row],[Unit Price]]-Table1[[#This Row],[Unit Cost]])*Table1[[#This Row],[Quantity]]</f>
        <v>44.399999999999977</v>
      </c>
      <c r="P79" s="9" t="str">
        <f t="shared" si="1"/>
        <v>Bulk</v>
      </c>
      <c r="Q79" s="9" t="str">
        <f>IF(Table1[[#This Row],[Discount]]&gt;=15%,"HIGH",IF(Table1[[#This Row],[Discount]]&gt;=55,"MEDIUM","NONE"))</f>
        <v>HIGH</v>
      </c>
      <c r="R79" s="9">
        <f>Table1[[#This Row],[Ship Date]]-Table1[[#This Row],[Order Date]]</f>
        <v>0</v>
      </c>
      <c r="S79" s="9">
        <f>VLOOKUP(Table1[[#This Row],[Region]],Table2[],2,FALSE)</f>
        <v>120000</v>
      </c>
      <c r="T79" s="9">
        <f>INDEX(Table2[Quarterly Target],MATCH(Table1[[#This Row],[Region]],Table2[[Region ]],0))</f>
        <v>120000</v>
      </c>
      <c r="U79" s="9">
        <f>RANK(Table1[[#This Row],[Sales]],Table1[Sales])</f>
        <v>323</v>
      </c>
      <c r="V79" s="21">
        <f>SUM(N$2:N80)</f>
        <v>281442.90450000006</v>
      </c>
    </row>
    <row r="80" spans="1:22" x14ac:dyDescent="0.25">
      <c r="A80" s="5" t="s">
        <v>262</v>
      </c>
      <c r="B80" s="6" t="s">
        <v>85</v>
      </c>
      <c r="C80" s="6" t="s">
        <v>85</v>
      </c>
      <c r="D80" s="7" t="s">
        <v>24</v>
      </c>
      <c r="E80" s="7" t="s">
        <v>49</v>
      </c>
      <c r="F80" s="7" t="s">
        <v>60</v>
      </c>
      <c r="G80" s="7" t="s">
        <v>32</v>
      </c>
      <c r="H80" s="7" t="s">
        <v>33</v>
      </c>
      <c r="I80" s="7" t="s">
        <v>153</v>
      </c>
      <c r="J80" s="7">
        <v>18</v>
      </c>
      <c r="K80" s="24">
        <v>16.440000000000001</v>
      </c>
      <c r="L80" s="8">
        <v>0</v>
      </c>
      <c r="M80" s="20">
        <v>11.62</v>
      </c>
      <c r="N80" s="21">
        <f>(Table1[[#This Row],[Quantity]]*Table1[[#This Row],[Unit Price]])*(1-Table1[[#This Row],[Discount]])</f>
        <v>295.92</v>
      </c>
      <c r="O80" s="21">
        <f>(Table1[[#This Row],[Unit Price]]-Table1[[#This Row],[Unit Cost]])*Table1[[#This Row],[Quantity]]</f>
        <v>86.760000000000034</v>
      </c>
      <c r="P80" s="9" t="str">
        <f t="shared" si="1"/>
        <v>Standard</v>
      </c>
      <c r="Q80" s="9" t="str">
        <f>IF(Table1[[#This Row],[Discount]]&gt;=15%,"HIGH",IF(Table1[[#This Row],[Discount]]&gt;=55,"MEDIUM","NONE"))</f>
        <v>NONE</v>
      </c>
      <c r="R80" s="9">
        <f>Table1[[#This Row],[Ship Date]]-Table1[[#This Row],[Order Date]]</f>
        <v>0</v>
      </c>
      <c r="S80" s="9">
        <f>VLOOKUP(Table1[[#This Row],[Region]],Table2[],2,FALSE)</f>
        <v>160000</v>
      </c>
      <c r="T80" s="9">
        <f>INDEX(Table2[Quarterly Target],MATCH(Table1[[#This Row],[Region]],Table2[[Region ]],0))</f>
        <v>160000</v>
      </c>
      <c r="U80" s="9">
        <f>RANK(Table1[[#This Row],[Sales]],Table1[Sales])</f>
        <v>278</v>
      </c>
      <c r="V80" s="21">
        <f>SUM(N$2:N81)</f>
        <v>284585.96650000004</v>
      </c>
    </row>
    <row r="81" spans="1:22" x14ac:dyDescent="0.25">
      <c r="A81" s="5" t="s">
        <v>263</v>
      </c>
      <c r="B81" s="6" t="s">
        <v>264</v>
      </c>
      <c r="C81" s="6" t="s">
        <v>265</v>
      </c>
      <c r="D81" s="7" t="s">
        <v>30</v>
      </c>
      <c r="E81" s="7" t="s">
        <v>17</v>
      </c>
      <c r="F81" s="7" t="s">
        <v>18</v>
      </c>
      <c r="G81" s="7" t="s">
        <v>67</v>
      </c>
      <c r="H81" s="7" t="s">
        <v>20</v>
      </c>
      <c r="I81" s="7" t="s">
        <v>113</v>
      </c>
      <c r="J81" s="7">
        <v>4</v>
      </c>
      <c r="K81" s="24">
        <v>924.43</v>
      </c>
      <c r="L81" s="8">
        <v>0.15</v>
      </c>
      <c r="M81" s="20">
        <v>710.1</v>
      </c>
      <c r="N81" s="21">
        <f>(Table1[[#This Row],[Quantity]]*Table1[[#This Row],[Unit Price]])*(1-Table1[[#This Row],[Discount]])</f>
        <v>3143.0619999999999</v>
      </c>
      <c r="O81" s="21">
        <f>(Table1[[#This Row],[Unit Price]]-Table1[[#This Row],[Unit Cost]])*Table1[[#This Row],[Quantity]]</f>
        <v>857.31999999999971</v>
      </c>
      <c r="P81" s="9" t="str">
        <f t="shared" si="1"/>
        <v>Bulk</v>
      </c>
      <c r="Q81" s="9" t="str">
        <f>IF(Table1[[#This Row],[Discount]]&gt;=15%,"HIGH",IF(Table1[[#This Row],[Discount]]&gt;=55,"MEDIUM","NONE"))</f>
        <v>HIGH</v>
      </c>
      <c r="R81" s="9">
        <f>Table1[[#This Row],[Ship Date]]-Table1[[#This Row],[Order Date]]</f>
        <v>2</v>
      </c>
      <c r="S81" s="9">
        <f>VLOOKUP(Table1[[#This Row],[Region]],Table2[],2,FALSE)</f>
        <v>140000</v>
      </c>
      <c r="T81" s="9">
        <f>INDEX(Table2[Quarterly Target],MATCH(Table1[[#This Row],[Region]],Table2[[Region ]],0))</f>
        <v>140000</v>
      </c>
      <c r="U81" s="9">
        <f>RANK(Table1[[#This Row],[Sales]],Table1[Sales])</f>
        <v>122</v>
      </c>
      <c r="V81" s="21">
        <f>SUM(N$2:N82)</f>
        <v>284780.84650000004</v>
      </c>
    </row>
    <row r="82" spans="1:22" x14ac:dyDescent="0.25">
      <c r="A82" s="5" t="s">
        <v>266</v>
      </c>
      <c r="B82" s="6" t="s">
        <v>239</v>
      </c>
      <c r="C82" s="6" t="s">
        <v>240</v>
      </c>
      <c r="D82" s="7" t="s">
        <v>30</v>
      </c>
      <c r="E82" s="7" t="s">
        <v>117</v>
      </c>
      <c r="F82" s="7" t="s">
        <v>43</v>
      </c>
      <c r="G82" s="7" t="s">
        <v>26</v>
      </c>
      <c r="H82" s="7" t="s">
        <v>33</v>
      </c>
      <c r="I82" s="7" t="s">
        <v>34</v>
      </c>
      <c r="J82" s="7">
        <v>12</v>
      </c>
      <c r="K82" s="24">
        <v>16.239999999999998</v>
      </c>
      <c r="L82" s="8">
        <v>0</v>
      </c>
      <c r="M82" s="20">
        <v>9.92</v>
      </c>
      <c r="N82" s="21">
        <f>(Table1[[#This Row],[Quantity]]*Table1[[#This Row],[Unit Price]])*(1-Table1[[#This Row],[Discount]])</f>
        <v>194.88</v>
      </c>
      <c r="O82" s="21">
        <f>(Table1[[#This Row],[Unit Price]]-Table1[[#This Row],[Unit Cost]])*Table1[[#This Row],[Quantity]]</f>
        <v>75.839999999999975</v>
      </c>
      <c r="P82" s="9" t="str">
        <f t="shared" si="1"/>
        <v>Standard</v>
      </c>
      <c r="Q82" s="9" t="str">
        <f>IF(Table1[[#This Row],[Discount]]&gt;=15%,"HIGH",IF(Table1[[#This Row],[Discount]]&gt;=55,"MEDIUM","NONE"))</f>
        <v>NONE</v>
      </c>
      <c r="R82" s="9">
        <f>Table1[[#This Row],[Ship Date]]-Table1[[#This Row],[Order Date]]</f>
        <v>2</v>
      </c>
      <c r="S82" s="9">
        <f>VLOOKUP(Table1[[#This Row],[Region]],Table2[],2,FALSE)</f>
        <v>150000</v>
      </c>
      <c r="T82" s="9">
        <f>INDEX(Table2[Quarterly Target],MATCH(Table1[[#This Row],[Region]],Table2[[Region ]],0))</f>
        <v>150000</v>
      </c>
      <c r="U82" s="9">
        <f>RANK(Table1[[#This Row],[Sales]],Table1[Sales])</f>
        <v>316</v>
      </c>
      <c r="V82" s="21">
        <f>SUM(N$2:N83)</f>
        <v>287775.52200000006</v>
      </c>
    </row>
    <row r="83" spans="1:22" x14ac:dyDescent="0.25">
      <c r="A83" s="5" t="s">
        <v>267</v>
      </c>
      <c r="B83" s="6" t="s">
        <v>268</v>
      </c>
      <c r="C83" s="6" t="s">
        <v>269</v>
      </c>
      <c r="D83" s="7" t="s">
        <v>30</v>
      </c>
      <c r="E83" s="7" t="s">
        <v>55</v>
      </c>
      <c r="F83" s="7" t="s">
        <v>38</v>
      </c>
      <c r="G83" s="7" t="s">
        <v>19</v>
      </c>
      <c r="H83" s="7" t="s">
        <v>45</v>
      </c>
      <c r="I83" s="7" t="s">
        <v>46</v>
      </c>
      <c r="J83" s="7">
        <v>19</v>
      </c>
      <c r="K83" s="24">
        <v>165.91</v>
      </c>
      <c r="L83" s="8">
        <v>0.05</v>
      </c>
      <c r="M83" s="20">
        <v>117.71</v>
      </c>
      <c r="N83" s="21">
        <f>(Table1[[#This Row],[Quantity]]*Table1[[#This Row],[Unit Price]])*(1-Table1[[#This Row],[Discount]])</f>
        <v>2994.6754999999998</v>
      </c>
      <c r="O83" s="21">
        <f>(Table1[[#This Row],[Unit Price]]-Table1[[#This Row],[Unit Cost]])*Table1[[#This Row],[Quantity]]</f>
        <v>915.80000000000007</v>
      </c>
      <c r="P83" s="9" t="str">
        <f t="shared" si="1"/>
        <v>Bulk</v>
      </c>
      <c r="Q83" s="9" t="str">
        <f>IF(Table1[[#This Row],[Discount]]&gt;=15%,"HIGH",IF(Table1[[#This Row],[Discount]]&gt;=55,"MEDIUM","NONE"))</f>
        <v>NONE</v>
      </c>
      <c r="R83" s="9">
        <f>Table1[[#This Row],[Ship Date]]-Table1[[#This Row],[Order Date]]</f>
        <v>3</v>
      </c>
      <c r="S83" s="9">
        <f>VLOOKUP(Table1[[#This Row],[Region]],Table2[],2,FALSE)</f>
        <v>120000</v>
      </c>
      <c r="T83" s="9">
        <f>INDEX(Table2[Quarterly Target],MATCH(Table1[[#This Row],[Region]],Table2[[Region ]],0))</f>
        <v>120000</v>
      </c>
      <c r="U83" s="9">
        <f>RANK(Table1[[#This Row],[Sales]],Table1[Sales])</f>
        <v>123</v>
      </c>
      <c r="V83" s="21">
        <f>SUM(N$2:N84)</f>
        <v>303125.29200000007</v>
      </c>
    </row>
    <row r="84" spans="1:22" x14ac:dyDescent="0.25">
      <c r="A84" s="5" t="s">
        <v>270</v>
      </c>
      <c r="B84" s="6" t="s">
        <v>223</v>
      </c>
      <c r="C84" s="6" t="s">
        <v>271</v>
      </c>
      <c r="D84" s="7" t="s">
        <v>16</v>
      </c>
      <c r="E84" s="7" t="s">
        <v>122</v>
      </c>
      <c r="F84" s="7" t="s">
        <v>18</v>
      </c>
      <c r="G84" s="7" t="s">
        <v>50</v>
      </c>
      <c r="H84" s="7" t="s">
        <v>20</v>
      </c>
      <c r="I84" s="7" t="s">
        <v>139</v>
      </c>
      <c r="J84" s="7">
        <v>15</v>
      </c>
      <c r="K84" s="24">
        <v>1137.02</v>
      </c>
      <c r="L84" s="8">
        <v>0.1</v>
      </c>
      <c r="M84" s="20">
        <v>710.4</v>
      </c>
      <c r="N84" s="21">
        <f>(Table1[[#This Row],[Quantity]]*Table1[[#This Row],[Unit Price]])*(1-Table1[[#This Row],[Discount]])</f>
        <v>15349.77</v>
      </c>
      <c r="O84" s="21">
        <f>(Table1[[#This Row],[Unit Price]]-Table1[[#This Row],[Unit Cost]])*Table1[[#This Row],[Quantity]]</f>
        <v>6399.3</v>
      </c>
      <c r="P84" s="9" t="str">
        <f t="shared" si="1"/>
        <v>Bulk</v>
      </c>
      <c r="Q84" s="9" t="str">
        <f>IF(Table1[[#This Row],[Discount]]&gt;=15%,"HIGH",IF(Table1[[#This Row],[Discount]]&gt;=55,"MEDIUM","NONE"))</f>
        <v>NONE</v>
      </c>
      <c r="R84" s="9">
        <f>Table1[[#This Row],[Ship Date]]-Table1[[#This Row],[Order Date]]</f>
        <v>7</v>
      </c>
      <c r="S84" s="9">
        <f>VLOOKUP(Table1[[#This Row],[Region]],Table2[],2,FALSE)</f>
        <v>140000</v>
      </c>
      <c r="T84" s="9">
        <f>INDEX(Table2[Quarterly Target],MATCH(Table1[[#This Row],[Region]],Table2[[Region ]],0))</f>
        <v>140000</v>
      </c>
      <c r="U84" s="9">
        <f>RANK(Table1[[#This Row],[Sales]],Table1[Sales])</f>
        <v>14</v>
      </c>
      <c r="V84" s="21">
        <f>SUM(N$2:N85)</f>
        <v>303402.93300000008</v>
      </c>
    </row>
    <row r="85" spans="1:22" x14ac:dyDescent="0.25">
      <c r="A85" s="5" t="s">
        <v>272</v>
      </c>
      <c r="B85" s="6" t="s">
        <v>273</v>
      </c>
      <c r="C85" s="6" t="s">
        <v>274</v>
      </c>
      <c r="D85" s="7" t="s">
        <v>16</v>
      </c>
      <c r="E85" s="7" t="s">
        <v>66</v>
      </c>
      <c r="F85" s="7" t="s">
        <v>60</v>
      </c>
      <c r="G85" s="7" t="s">
        <v>67</v>
      </c>
      <c r="H85" s="7" t="s">
        <v>33</v>
      </c>
      <c r="I85" s="7" t="s">
        <v>51</v>
      </c>
      <c r="J85" s="7">
        <v>13</v>
      </c>
      <c r="K85" s="24">
        <v>23.73</v>
      </c>
      <c r="L85" s="8">
        <v>0.1</v>
      </c>
      <c r="M85" s="20">
        <v>14.81</v>
      </c>
      <c r="N85" s="21">
        <f>(Table1[[#This Row],[Quantity]]*Table1[[#This Row],[Unit Price]])*(1-Table1[[#This Row],[Discount]])</f>
        <v>277.64100000000002</v>
      </c>
      <c r="O85" s="21">
        <f>(Table1[[#This Row],[Unit Price]]-Table1[[#This Row],[Unit Cost]])*Table1[[#This Row],[Quantity]]</f>
        <v>115.96</v>
      </c>
      <c r="P85" s="9" t="str">
        <f t="shared" si="1"/>
        <v>Bulk</v>
      </c>
      <c r="Q85" s="9" t="str">
        <f>IF(Table1[[#This Row],[Discount]]&gt;=15%,"HIGH",IF(Table1[[#This Row],[Discount]]&gt;=55,"MEDIUM","NONE"))</f>
        <v>NONE</v>
      </c>
      <c r="R85" s="9">
        <f>Table1[[#This Row],[Ship Date]]-Table1[[#This Row],[Order Date]]</f>
        <v>6</v>
      </c>
      <c r="S85" s="9">
        <f>VLOOKUP(Table1[[#This Row],[Region]],Table2[],2,FALSE)</f>
        <v>160000</v>
      </c>
      <c r="T85" s="9">
        <f>INDEX(Table2[Quarterly Target],MATCH(Table1[[#This Row],[Region]],Table2[[Region ]],0))</f>
        <v>160000</v>
      </c>
      <c r="U85" s="9">
        <f>RANK(Table1[[#This Row],[Sales]],Table1[Sales])</f>
        <v>283</v>
      </c>
      <c r="V85" s="21">
        <f>SUM(N$2:N86)</f>
        <v>304596.69300000009</v>
      </c>
    </row>
    <row r="86" spans="1:22" x14ac:dyDescent="0.25">
      <c r="A86" s="5" t="s">
        <v>275</v>
      </c>
      <c r="B86" s="6" t="s">
        <v>276</v>
      </c>
      <c r="C86" s="6" t="s">
        <v>276</v>
      </c>
      <c r="D86" s="7" t="s">
        <v>24</v>
      </c>
      <c r="E86" s="7" t="s">
        <v>109</v>
      </c>
      <c r="F86" s="7" t="s">
        <v>43</v>
      </c>
      <c r="G86" s="7" t="s">
        <v>26</v>
      </c>
      <c r="H86" s="7" t="s">
        <v>61</v>
      </c>
      <c r="I86" s="7" t="s">
        <v>169</v>
      </c>
      <c r="J86" s="7">
        <v>24</v>
      </c>
      <c r="K86" s="24">
        <v>49.74</v>
      </c>
      <c r="L86" s="8">
        <v>0</v>
      </c>
      <c r="M86" s="20">
        <v>37</v>
      </c>
      <c r="N86" s="21">
        <f>(Table1[[#This Row],[Quantity]]*Table1[[#This Row],[Unit Price]])*(1-Table1[[#This Row],[Discount]])</f>
        <v>1193.76</v>
      </c>
      <c r="O86" s="21">
        <f>(Table1[[#This Row],[Unit Price]]-Table1[[#This Row],[Unit Cost]])*Table1[[#This Row],[Quantity]]</f>
        <v>305.76000000000005</v>
      </c>
      <c r="P86" s="9" t="str">
        <f t="shared" si="1"/>
        <v>Bulk</v>
      </c>
      <c r="Q86" s="9" t="str">
        <f>IF(Table1[[#This Row],[Discount]]&gt;=15%,"HIGH",IF(Table1[[#This Row],[Discount]]&gt;=55,"MEDIUM","NONE"))</f>
        <v>NONE</v>
      </c>
      <c r="R86" s="9">
        <f>Table1[[#This Row],[Ship Date]]-Table1[[#This Row],[Order Date]]</f>
        <v>0</v>
      </c>
      <c r="S86" s="9">
        <f>VLOOKUP(Table1[[#This Row],[Region]],Table2[],2,FALSE)</f>
        <v>150000</v>
      </c>
      <c r="T86" s="9">
        <f>INDEX(Table2[Quarterly Target],MATCH(Table1[[#This Row],[Region]],Table2[[Region ]],0))</f>
        <v>150000</v>
      </c>
      <c r="U86" s="9">
        <f>RANK(Table1[[#This Row],[Sales]],Table1[Sales])</f>
        <v>167</v>
      </c>
      <c r="V86" s="21">
        <f>SUM(N$2:N87)</f>
        <v>306094.74900000007</v>
      </c>
    </row>
    <row r="87" spans="1:22" x14ac:dyDescent="0.25">
      <c r="A87" s="5" t="s">
        <v>277</v>
      </c>
      <c r="B87" s="6" t="s">
        <v>278</v>
      </c>
      <c r="C87" s="6" t="s">
        <v>278</v>
      </c>
      <c r="D87" s="7" t="s">
        <v>24</v>
      </c>
      <c r="E87" s="7" t="s">
        <v>59</v>
      </c>
      <c r="F87" s="7" t="s">
        <v>18</v>
      </c>
      <c r="G87" s="7" t="s">
        <v>67</v>
      </c>
      <c r="H87" s="7" t="s">
        <v>45</v>
      </c>
      <c r="I87" s="7" t="s">
        <v>83</v>
      </c>
      <c r="J87" s="7">
        <v>21</v>
      </c>
      <c r="K87" s="24">
        <v>89.17</v>
      </c>
      <c r="L87" s="8">
        <v>0.2</v>
      </c>
      <c r="M87" s="20">
        <v>58.87</v>
      </c>
      <c r="N87" s="21">
        <f>(Table1[[#This Row],[Quantity]]*Table1[[#This Row],[Unit Price]])*(1-Table1[[#This Row],[Discount]])</f>
        <v>1498.056</v>
      </c>
      <c r="O87" s="21">
        <f>(Table1[[#This Row],[Unit Price]]-Table1[[#This Row],[Unit Cost]])*Table1[[#This Row],[Quantity]]</f>
        <v>636.30000000000007</v>
      </c>
      <c r="P87" s="9" t="str">
        <f t="shared" si="1"/>
        <v>Bulk</v>
      </c>
      <c r="Q87" s="9" t="str">
        <f>IF(Table1[[#This Row],[Discount]]&gt;=15%,"HIGH",IF(Table1[[#This Row],[Discount]]&gt;=55,"MEDIUM","NONE"))</f>
        <v>HIGH</v>
      </c>
      <c r="R87" s="9">
        <f>Table1[[#This Row],[Ship Date]]-Table1[[#This Row],[Order Date]]</f>
        <v>0</v>
      </c>
      <c r="S87" s="9">
        <f>VLOOKUP(Table1[[#This Row],[Region]],Table2[],2,FALSE)</f>
        <v>140000</v>
      </c>
      <c r="T87" s="9">
        <f>INDEX(Table2[Quarterly Target],MATCH(Table1[[#This Row],[Region]],Table2[[Region ]],0))</f>
        <v>140000</v>
      </c>
      <c r="U87" s="9">
        <f>RANK(Table1[[#This Row],[Sales]],Table1[Sales])</f>
        <v>151</v>
      </c>
      <c r="V87" s="21">
        <f>SUM(N$2:N88)</f>
        <v>306730.32900000009</v>
      </c>
    </row>
    <row r="88" spans="1:22" x14ac:dyDescent="0.25">
      <c r="A88" s="5" t="s">
        <v>279</v>
      </c>
      <c r="B88" s="6" t="s">
        <v>280</v>
      </c>
      <c r="C88" s="6" t="s">
        <v>281</v>
      </c>
      <c r="D88" s="7" t="s">
        <v>16</v>
      </c>
      <c r="E88" s="7" t="s">
        <v>78</v>
      </c>
      <c r="F88" s="7" t="s">
        <v>60</v>
      </c>
      <c r="G88" s="7" t="s">
        <v>19</v>
      </c>
      <c r="H88" s="7" t="s">
        <v>33</v>
      </c>
      <c r="I88" s="7" t="s">
        <v>39</v>
      </c>
      <c r="J88" s="7">
        <v>18</v>
      </c>
      <c r="K88" s="24">
        <v>35.31</v>
      </c>
      <c r="L88" s="8">
        <v>0</v>
      </c>
      <c r="M88" s="20">
        <v>24.11</v>
      </c>
      <c r="N88" s="21">
        <f>(Table1[[#This Row],[Quantity]]*Table1[[#This Row],[Unit Price]])*(1-Table1[[#This Row],[Discount]])</f>
        <v>635.58000000000004</v>
      </c>
      <c r="O88" s="21">
        <f>(Table1[[#This Row],[Unit Price]]-Table1[[#This Row],[Unit Cost]])*Table1[[#This Row],[Quantity]]</f>
        <v>201.60000000000005</v>
      </c>
      <c r="P88" s="9" t="str">
        <f t="shared" si="1"/>
        <v>Bulk</v>
      </c>
      <c r="Q88" s="9" t="str">
        <f>IF(Table1[[#This Row],[Discount]]&gt;=15%,"HIGH",IF(Table1[[#This Row],[Discount]]&gt;=55,"MEDIUM","NONE"))</f>
        <v>NONE</v>
      </c>
      <c r="R88" s="9">
        <f>Table1[[#This Row],[Ship Date]]-Table1[[#This Row],[Order Date]]</f>
        <v>6</v>
      </c>
      <c r="S88" s="9">
        <f>VLOOKUP(Table1[[#This Row],[Region]],Table2[],2,FALSE)</f>
        <v>160000</v>
      </c>
      <c r="T88" s="9">
        <f>INDEX(Table2[Quarterly Target],MATCH(Table1[[#This Row],[Region]],Table2[[Region ]],0))</f>
        <v>160000</v>
      </c>
      <c r="U88" s="9">
        <f>RANK(Table1[[#This Row],[Sales]],Table1[Sales])</f>
        <v>210</v>
      </c>
      <c r="V88" s="21">
        <f>SUM(N$2:N89)</f>
        <v>307081.97900000011</v>
      </c>
    </row>
    <row r="89" spans="1:22" x14ac:dyDescent="0.25">
      <c r="A89" s="5" t="s">
        <v>282</v>
      </c>
      <c r="B89" s="6" t="s">
        <v>283</v>
      </c>
      <c r="C89" s="6" t="s">
        <v>284</v>
      </c>
      <c r="D89" s="7" t="s">
        <v>16</v>
      </c>
      <c r="E89" s="7" t="s">
        <v>96</v>
      </c>
      <c r="F89" s="7" t="s">
        <v>18</v>
      </c>
      <c r="G89" s="7" t="s">
        <v>82</v>
      </c>
      <c r="H89" s="7" t="s">
        <v>61</v>
      </c>
      <c r="I89" s="7" t="s">
        <v>169</v>
      </c>
      <c r="J89" s="7">
        <v>5</v>
      </c>
      <c r="K89" s="24">
        <v>70.33</v>
      </c>
      <c r="L89" s="8">
        <v>0</v>
      </c>
      <c r="M89" s="20">
        <v>53.8</v>
      </c>
      <c r="N89" s="21">
        <f>(Table1[[#This Row],[Quantity]]*Table1[[#This Row],[Unit Price]])*(1-Table1[[#This Row],[Discount]])</f>
        <v>351.65</v>
      </c>
      <c r="O89" s="21">
        <f>(Table1[[#This Row],[Unit Price]]-Table1[[#This Row],[Unit Cost]])*Table1[[#This Row],[Quantity]]</f>
        <v>82.65</v>
      </c>
      <c r="P89" s="9" t="str">
        <f t="shared" si="1"/>
        <v>Bulk</v>
      </c>
      <c r="Q89" s="9" t="str">
        <f>IF(Table1[[#This Row],[Discount]]&gt;=15%,"HIGH",IF(Table1[[#This Row],[Discount]]&gt;=55,"MEDIUM","NONE"))</f>
        <v>NONE</v>
      </c>
      <c r="R89" s="9">
        <f>Table1[[#This Row],[Ship Date]]-Table1[[#This Row],[Order Date]]</f>
        <v>7</v>
      </c>
      <c r="S89" s="9">
        <f>VLOOKUP(Table1[[#This Row],[Region]],Table2[],2,FALSE)</f>
        <v>140000</v>
      </c>
      <c r="T89" s="9">
        <f>INDEX(Table2[Quarterly Target],MATCH(Table1[[#This Row],[Region]],Table2[[Region ]],0))</f>
        <v>140000</v>
      </c>
      <c r="U89" s="9">
        <f>RANK(Table1[[#This Row],[Sales]],Table1[Sales])</f>
        <v>261</v>
      </c>
      <c r="V89" s="21">
        <f>SUM(N$2:N90)</f>
        <v>307733.0450000001</v>
      </c>
    </row>
    <row r="90" spans="1:22" x14ac:dyDescent="0.25">
      <c r="A90" s="5" t="s">
        <v>285</v>
      </c>
      <c r="B90" s="6" t="s">
        <v>280</v>
      </c>
      <c r="C90" s="6" t="s">
        <v>286</v>
      </c>
      <c r="D90" s="7" t="s">
        <v>30</v>
      </c>
      <c r="E90" s="7" t="s">
        <v>122</v>
      </c>
      <c r="F90" s="7" t="s">
        <v>18</v>
      </c>
      <c r="G90" s="7" t="s">
        <v>67</v>
      </c>
      <c r="H90" s="7" t="s">
        <v>61</v>
      </c>
      <c r="I90" s="7" t="s">
        <v>106</v>
      </c>
      <c r="J90" s="7">
        <v>12</v>
      </c>
      <c r="K90" s="24">
        <v>63.83</v>
      </c>
      <c r="L90" s="8">
        <v>0.15</v>
      </c>
      <c r="M90" s="20">
        <v>39.29</v>
      </c>
      <c r="N90" s="21">
        <f>(Table1[[#This Row],[Quantity]]*Table1[[#This Row],[Unit Price]])*(1-Table1[[#This Row],[Discount]])</f>
        <v>651.06600000000003</v>
      </c>
      <c r="O90" s="21">
        <f>(Table1[[#This Row],[Unit Price]]-Table1[[#This Row],[Unit Cost]])*Table1[[#This Row],[Quantity]]</f>
        <v>294.48</v>
      </c>
      <c r="P90" s="9" t="str">
        <f t="shared" si="1"/>
        <v>Standard</v>
      </c>
      <c r="Q90" s="9" t="str">
        <f>IF(Table1[[#This Row],[Discount]]&gt;=15%,"HIGH",IF(Table1[[#This Row],[Discount]]&gt;=55,"MEDIUM","NONE"))</f>
        <v>HIGH</v>
      </c>
      <c r="R90" s="9">
        <f>Table1[[#This Row],[Ship Date]]-Table1[[#This Row],[Order Date]]</f>
        <v>3</v>
      </c>
      <c r="S90" s="9">
        <f>VLOOKUP(Table1[[#This Row],[Region]],Table2[],2,FALSE)</f>
        <v>140000</v>
      </c>
      <c r="T90" s="9">
        <f>INDEX(Table2[Quarterly Target],MATCH(Table1[[#This Row],[Region]],Table2[[Region ]],0))</f>
        <v>140000</v>
      </c>
      <c r="U90" s="9">
        <f>RANK(Table1[[#This Row],[Sales]],Table1[Sales])</f>
        <v>207</v>
      </c>
      <c r="V90" s="21">
        <f>SUM(N$2:N91)</f>
        <v>311400.01300000009</v>
      </c>
    </row>
    <row r="91" spans="1:22" x14ac:dyDescent="0.25">
      <c r="A91" s="5" t="s">
        <v>287</v>
      </c>
      <c r="B91" s="6" t="s">
        <v>288</v>
      </c>
      <c r="C91" s="6" t="s">
        <v>288</v>
      </c>
      <c r="D91" s="7" t="s">
        <v>24</v>
      </c>
      <c r="E91" s="7" t="s">
        <v>112</v>
      </c>
      <c r="F91" s="7" t="s">
        <v>43</v>
      </c>
      <c r="G91" s="7" t="s">
        <v>32</v>
      </c>
      <c r="H91" s="7" t="s">
        <v>45</v>
      </c>
      <c r="I91" s="7" t="s">
        <v>143</v>
      </c>
      <c r="J91" s="7">
        <v>8</v>
      </c>
      <c r="K91" s="24">
        <v>539.26</v>
      </c>
      <c r="L91" s="8">
        <v>0.15</v>
      </c>
      <c r="M91" s="20">
        <v>407.66</v>
      </c>
      <c r="N91" s="21">
        <f>(Table1[[#This Row],[Quantity]]*Table1[[#This Row],[Unit Price]])*(1-Table1[[#This Row],[Discount]])</f>
        <v>3666.9679999999998</v>
      </c>
      <c r="O91" s="21">
        <f>(Table1[[#This Row],[Unit Price]]-Table1[[#This Row],[Unit Cost]])*Table1[[#This Row],[Quantity]]</f>
        <v>1052.7999999999997</v>
      </c>
      <c r="P91" s="9" t="str">
        <f t="shared" si="1"/>
        <v>Bulk</v>
      </c>
      <c r="Q91" s="9" t="str">
        <f>IF(Table1[[#This Row],[Discount]]&gt;=15%,"HIGH",IF(Table1[[#This Row],[Discount]]&gt;=55,"MEDIUM","NONE"))</f>
        <v>HIGH</v>
      </c>
      <c r="R91" s="9">
        <f>Table1[[#This Row],[Ship Date]]-Table1[[#This Row],[Order Date]]</f>
        <v>0</v>
      </c>
      <c r="S91" s="9">
        <f>VLOOKUP(Table1[[#This Row],[Region]],Table2[],2,FALSE)</f>
        <v>150000</v>
      </c>
      <c r="T91" s="9">
        <f>INDEX(Table2[Quarterly Target],MATCH(Table1[[#This Row],[Region]],Table2[[Region ]],0))</f>
        <v>150000</v>
      </c>
      <c r="U91" s="9">
        <f>RANK(Table1[[#This Row],[Sales]],Table1[Sales])</f>
        <v>109</v>
      </c>
      <c r="V91" s="21">
        <f>SUM(N$2:N92)</f>
        <v>312241.51300000009</v>
      </c>
    </row>
    <row r="92" spans="1:22" x14ac:dyDescent="0.25">
      <c r="A92" s="5" t="s">
        <v>289</v>
      </c>
      <c r="B92" s="6" t="s">
        <v>290</v>
      </c>
      <c r="C92" s="6" t="s">
        <v>167</v>
      </c>
      <c r="D92" s="7" t="s">
        <v>16</v>
      </c>
      <c r="E92" s="7" t="s">
        <v>214</v>
      </c>
      <c r="F92" s="7" t="s">
        <v>43</v>
      </c>
      <c r="G92" s="7" t="s">
        <v>82</v>
      </c>
      <c r="H92" s="7" t="s">
        <v>45</v>
      </c>
      <c r="I92" s="7" t="s">
        <v>46</v>
      </c>
      <c r="J92" s="7">
        <v>4</v>
      </c>
      <c r="K92" s="24">
        <v>233.75</v>
      </c>
      <c r="L92" s="8">
        <v>0.1</v>
      </c>
      <c r="M92" s="20">
        <v>136.49</v>
      </c>
      <c r="N92" s="21">
        <f>(Table1[[#This Row],[Quantity]]*Table1[[#This Row],[Unit Price]])*(1-Table1[[#This Row],[Discount]])</f>
        <v>841.5</v>
      </c>
      <c r="O92" s="21">
        <f>(Table1[[#This Row],[Unit Price]]-Table1[[#This Row],[Unit Cost]])*Table1[[#This Row],[Quantity]]</f>
        <v>389.03999999999996</v>
      </c>
      <c r="P92" s="9" t="str">
        <f t="shared" si="1"/>
        <v>Standard</v>
      </c>
      <c r="Q92" s="9" t="str">
        <f>IF(Table1[[#This Row],[Discount]]&gt;=15%,"HIGH",IF(Table1[[#This Row],[Discount]]&gt;=55,"MEDIUM","NONE"))</f>
        <v>NONE</v>
      </c>
      <c r="R92" s="9">
        <f>Table1[[#This Row],[Ship Date]]-Table1[[#This Row],[Order Date]]</f>
        <v>7</v>
      </c>
      <c r="S92" s="9">
        <f>VLOOKUP(Table1[[#This Row],[Region]],Table2[],2,FALSE)</f>
        <v>150000</v>
      </c>
      <c r="T92" s="9">
        <f>INDEX(Table2[Quarterly Target],MATCH(Table1[[#This Row],[Region]],Table2[[Region ]],0))</f>
        <v>150000</v>
      </c>
      <c r="U92" s="9">
        <f>RANK(Table1[[#This Row],[Sales]],Table1[Sales])</f>
        <v>185</v>
      </c>
      <c r="V92" s="21">
        <f>SUM(N$2:N93)</f>
        <v>313094.51300000009</v>
      </c>
    </row>
    <row r="93" spans="1:22" x14ac:dyDescent="0.25">
      <c r="A93" s="5" t="s">
        <v>291</v>
      </c>
      <c r="B93" s="6" t="s">
        <v>292</v>
      </c>
      <c r="C93" s="6" t="s">
        <v>293</v>
      </c>
      <c r="D93" s="7" t="s">
        <v>30</v>
      </c>
      <c r="E93" s="7" t="s">
        <v>31</v>
      </c>
      <c r="F93" s="7" t="s">
        <v>25</v>
      </c>
      <c r="G93" s="7" t="s">
        <v>67</v>
      </c>
      <c r="H93" s="7" t="s">
        <v>61</v>
      </c>
      <c r="I93" s="7" t="s">
        <v>72</v>
      </c>
      <c r="J93" s="7">
        <v>20</v>
      </c>
      <c r="K93" s="24">
        <v>42.65</v>
      </c>
      <c r="L93" s="8">
        <v>0</v>
      </c>
      <c r="M93" s="20">
        <v>23.81</v>
      </c>
      <c r="N93" s="21">
        <f>(Table1[[#This Row],[Quantity]]*Table1[[#This Row],[Unit Price]])*(1-Table1[[#This Row],[Discount]])</f>
        <v>853</v>
      </c>
      <c r="O93" s="21">
        <f>(Table1[[#This Row],[Unit Price]]-Table1[[#This Row],[Unit Cost]])*Table1[[#This Row],[Quantity]]</f>
        <v>376.8</v>
      </c>
      <c r="P93" s="9" t="str">
        <f t="shared" si="1"/>
        <v>Standard</v>
      </c>
      <c r="Q93" s="9" t="str">
        <f>IF(Table1[[#This Row],[Discount]]&gt;=15%,"HIGH",IF(Table1[[#This Row],[Discount]]&gt;=55,"MEDIUM","NONE"))</f>
        <v>NONE</v>
      </c>
      <c r="R93" s="9">
        <f>Table1[[#This Row],[Ship Date]]-Table1[[#This Row],[Order Date]]</f>
        <v>2</v>
      </c>
      <c r="S93" s="9">
        <f>VLOOKUP(Table1[[#This Row],[Region]],Table2[],2,FALSE)</f>
        <v>130000</v>
      </c>
      <c r="T93" s="9">
        <f>INDEX(Table2[Quarterly Target],MATCH(Table1[[#This Row],[Region]],Table2[[Region ]],0))</f>
        <v>130000</v>
      </c>
      <c r="U93" s="9">
        <f>RANK(Table1[[#This Row],[Sales]],Table1[Sales])</f>
        <v>184</v>
      </c>
      <c r="V93" s="21">
        <f>SUM(N$2:N94)</f>
        <v>313866.37850000011</v>
      </c>
    </row>
    <row r="94" spans="1:22" x14ac:dyDescent="0.25">
      <c r="A94" s="5" t="s">
        <v>294</v>
      </c>
      <c r="B94" s="6" t="s">
        <v>295</v>
      </c>
      <c r="C94" s="6" t="s">
        <v>295</v>
      </c>
      <c r="D94" s="7" t="s">
        <v>24</v>
      </c>
      <c r="E94" s="7" t="s">
        <v>96</v>
      </c>
      <c r="F94" s="7" t="s">
        <v>18</v>
      </c>
      <c r="G94" s="7" t="s">
        <v>32</v>
      </c>
      <c r="H94" s="7" t="s">
        <v>61</v>
      </c>
      <c r="I94" s="7" t="s">
        <v>88</v>
      </c>
      <c r="J94" s="7">
        <v>21</v>
      </c>
      <c r="K94" s="24">
        <v>38.69</v>
      </c>
      <c r="L94" s="8">
        <v>0.05</v>
      </c>
      <c r="M94" s="20">
        <v>23.95</v>
      </c>
      <c r="N94" s="21">
        <f>(Table1[[#This Row],[Quantity]]*Table1[[#This Row],[Unit Price]])*(1-Table1[[#This Row],[Discount]])</f>
        <v>771.8655</v>
      </c>
      <c r="O94" s="21">
        <f>(Table1[[#This Row],[Unit Price]]-Table1[[#This Row],[Unit Cost]])*Table1[[#This Row],[Quantity]]</f>
        <v>309.53999999999996</v>
      </c>
      <c r="P94" s="9" t="str">
        <f t="shared" si="1"/>
        <v>Bulk</v>
      </c>
      <c r="Q94" s="9" t="str">
        <f>IF(Table1[[#This Row],[Discount]]&gt;=15%,"HIGH",IF(Table1[[#This Row],[Discount]]&gt;=55,"MEDIUM","NONE"))</f>
        <v>NONE</v>
      </c>
      <c r="R94" s="9">
        <f>Table1[[#This Row],[Ship Date]]-Table1[[#This Row],[Order Date]]</f>
        <v>0</v>
      </c>
      <c r="S94" s="9">
        <f>VLOOKUP(Table1[[#This Row],[Region]],Table2[],2,FALSE)</f>
        <v>140000</v>
      </c>
      <c r="T94" s="9">
        <f>INDEX(Table2[Quarterly Target],MATCH(Table1[[#This Row],[Region]],Table2[[Region ]],0))</f>
        <v>140000</v>
      </c>
      <c r="U94" s="9">
        <f>RANK(Table1[[#This Row],[Sales]],Table1[Sales])</f>
        <v>193</v>
      </c>
      <c r="V94" s="21">
        <f>SUM(N$2:N95)</f>
        <v>317078.1785000001</v>
      </c>
    </row>
    <row r="95" spans="1:22" x14ac:dyDescent="0.25">
      <c r="A95" s="5" t="s">
        <v>296</v>
      </c>
      <c r="B95" s="6" t="s">
        <v>234</v>
      </c>
      <c r="C95" s="6" t="s">
        <v>281</v>
      </c>
      <c r="D95" s="7" t="s">
        <v>16</v>
      </c>
      <c r="E95" s="7" t="s">
        <v>133</v>
      </c>
      <c r="F95" s="7" t="s">
        <v>43</v>
      </c>
      <c r="G95" s="7" t="s">
        <v>32</v>
      </c>
      <c r="H95" s="7" t="s">
        <v>45</v>
      </c>
      <c r="I95" s="7" t="s">
        <v>83</v>
      </c>
      <c r="J95" s="7">
        <v>5</v>
      </c>
      <c r="K95" s="24">
        <v>642.36</v>
      </c>
      <c r="L95" s="8">
        <v>0</v>
      </c>
      <c r="M95" s="20">
        <v>364.32</v>
      </c>
      <c r="N95" s="21">
        <f>(Table1[[#This Row],[Quantity]]*Table1[[#This Row],[Unit Price]])*(1-Table1[[#This Row],[Discount]])</f>
        <v>3211.8</v>
      </c>
      <c r="O95" s="21">
        <f>(Table1[[#This Row],[Unit Price]]-Table1[[#This Row],[Unit Cost]])*Table1[[#This Row],[Quantity]]</f>
        <v>1390.2</v>
      </c>
      <c r="P95" s="9" t="str">
        <f t="shared" si="1"/>
        <v>Bulk</v>
      </c>
      <c r="Q95" s="9" t="str">
        <f>IF(Table1[[#This Row],[Discount]]&gt;=15%,"HIGH",IF(Table1[[#This Row],[Discount]]&gt;=55,"MEDIUM","NONE"))</f>
        <v>NONE</v>
      </c>
      <c r="R95" s="9">
        <f>Table1[[#This Row],[Ship Date]]-Table1[[#This Row],[Order Date]]</f>
        <v>5</v>
      </c>
      <c r="S95" s="9">
        <f>VLOOKUP(Table1[[#This Row],[Region]],Table2[],2,FALSE)</f>
        <v>150000</v>
      </c>
      <c r="T95" s="9">
        <f>INDEX(Table2[Quarterly Target],MATCH(Table1[[#This Row],[Region]],Table2[[Region ]],0))</f>
        <v>150000</v>
      </c>
      <c r="U95" s="9">
        <f>RANK(Table1[[#This Row],[Sales]],Table1[Sales])</f>
        <v>121</v>
      </c>
      <c r="V95" s="21">
        <f>SUM(N$2:N96)</f>
        <v>317168.29850000009</v>
      </c>
    </row>
    <row r="96" spans="1:22" x14ac:dyDescent="0.25">
      <c r="A96" s="5" t="s">
        <v>297</v>
      </c>
      <c r="B96" s="6" t="s">
        <v>298</v>
      </c>
      <c r="C96" s="6" t="s">
        <v>136</v>
      </c>
      <c r="D96" s="7" t="s">
        <v>16</v>
      </c>
      <c r="E96" s="7" t="s">
        <v>91</v>
      </c>
      <c r="F96" s="7" t="s">
        <v>38</v>
      </c>
      <c r="G96" s="7" t="s">
        <v>44</v>
      </c>
      <c r="H96" s="7" t="s">
        <v>33</v>
      </c>
      <c r="I96" s="7" t="s">
        <v>51</v>
      </c>
      <c r="J96" s="7">
        <v>5</v>
      </c>
      <c r="K96" s="24">
        <v>22.53</v>
      </c>
      <c r="L96" s="8">
        <v>0.2</v>
      </c>
      <c r="M96" s="20">
        <v>13.37</v>
      </c>
      <c r="N96" s="21">
        <f>(Table1[[#This Row],[Quantity]]*Table1[[#This Row],[Unit Price]])*(1-Table1[[#This Row],[Discount]])</f>
        <v>90.12</v>
      </c>
      <c r="O96" s="21">
        <f>(Table1[[#This Row],[Unit Price]]-Table1[[#This Row],[Unit Cost]])*Table1[[#This Row],[Quantity]]</f>
        <v>45.800000000000011</v>
      </c>
      <c r="P96" s="9" t="str">
        <f t="shared" si="1"/>
        <v>Standard</v>
      </c>
      <c r="Q96" s="9" t="str">
        <f>IF(Table1[[#This Row],[Discount]]&gt;=15%,"HIGH",IF(Table1[[#This Row],[Discount]]&gt;=55,"MEDIUM","NONE"))</f>
        <v>HIGH</v>
      </c>
      <c r="R96" s="9">
        <f>Table1[[#This Row],[Ship Date]]-Table1[[#This Row],[Order Date]]</f>
        <v>4</v>
      </c>
      <c r="S96" s="9">
        <f>VLOOKUP(Table1[[#This Row],[Region]],Table2[],2,FALSE)</f>
        <v>120000</v>
      </c>
      <c r="T96" s="9">
        <f>INDEX(Table2[Quarterly Target],MATCH(Table1[[#This Row],[Region]],Table2[[Region ]],0))</f>
        <v>120000</v>
      </c>
      <c r="U96" s="9">
        <f>RANK(Table1[[#This Row],[Sales]],Table1[Sales])</f>
        <v>366</v>
      </c>
      <c r="V96" s="21">
        <f>SUM(N$2:N97)</f>
        <v>317198.8220000001</v>
      </c>
    </row>
    <row r="97" spans="1:22" x14ac:dyDescent="0.25">
      <c r="A97" s="5" t="s">
        <v>299</v>
      </c>
      <c r="B97" s="6" t="s">
        <v>300</v>
      </c>
      <c r="C97" s="6" t="s">
        <v>301</v>
      </c>
      <c r="D97" s="7" t="s">
        <v>16</v>
      </c>
      <c r="E97" s="7" t="s">
        <v>117</v>
      </c>
      <c r="F97" s="7" t="s">
        <v>38</v>
      </c>
      <c r="G97" s="7" t="s">
        <v>26</v>
      </c>
      <c r="H97" s="7" t="s">
        <v>33</v>
      </c>
      <c r="I97" s="7" t="s">
        <v>51</v>
      </c>
      <c r="J97" s="7">
        <v>9</v>
      </c>
      <c r="K97" s="24">
        <v>3.99</v>
      </c>
      <c r="L97" s="8">
        <v>0.15</v>
      </c>
      <c r="M97" s="20">
        <v>2.61</v>
      </c>
      <c r="N97" s="21">
        <f>(Table1[[#This Row],[Quantity]]*Table1[[#This Row],[Unit Price]])*(1-Table1[[#This Row],[Discount]])</f>
        <v>30.523500000000002</v>
      </c>
      <c r="O97" s="21">
        <f>(Table1[[#This Row],[Unit Price]]-Table1[[#This Row],[Unit Cost]])*Table1[[#This Row],[Quantity]]</f>
        <v>12.420000000000003</v>
      </c>
      <c r="P97" s="9" t="str">
        <f t="shared" si="1"/>
        <v>Standard</v>
      </c>
      <c r="Q97" s="9" t="str">
        <f>IF(Table1[[#This Row],[Discount]]&gt;=15%,"HIGH",IF(Table1[[#This Row],[Discount]]&gt;=55,"MEDIUM","NONE"))</f>
        <v>HIGH</v>
      </c>
      <c r="R97" s="9">
        <f>Table1[[#This Row],[Ship Date]]-Table1[[#This Row],[Order Date]]</f>
        <v>4</v>
      </c>
      <c r="S97" s="9">
        <f>VLOOKUP(Table1[[#This Row],[Region]],Table2[],2,FALSE)</f>
        <v>120000</v>
      </c>
      <c r="T97" s="9">
        <f>INDEX(Table2[Quarterly Target],MATCH(Table1[[#This Row],[Region]],Table2[[Region ]],0))</f>
        <v>120000</v>
      </c>
      <c r="U97" s="9">
        <f>RANK(Table1[[#This Row],[Sales]],Table1[Sales])</f>
        <v>390</v>
      </c>
      <c r="V97" s="21">
        <f>SUM(N$2:N98)</f>
        <v>317622.93800000008</v>
      </c>
    </row>
    <row r="98" spans="1:22" x14ac:dyDescent="0.25">
      <c r="A98" s="5" t="s">
        <v>302</v>
      </c>
      <c r="B98" s="6" t="s">
        <v>303</v>
      </c>
      <c r="C98" s="6" t="s">
        <v>216</v>
      </c>
      <c r="D98" s="7" t="s">
        <v>30</v>
      </c>
      <c r="E98" s="7" t="s">
        <v>109</v>
      </c>
      <c r="F98" s="7" t="s">
        <v>38</v>
      </c>
      <c r="G98" s="7" t="s">
        <v>67</v>
      </c>
      <c r="H98" s="7" t="s">
        <v>61</v>
      </c>
      <c r="I98" s="7" t="s">
        <v>169</v>
      </c>
      <c r="J98" s="7">
        <v>17</v>
      </c>
      <c r="K98" s="24">
        <v>27.72</v>
      </c>
      <c r="L98" s="8">
        <v>0.1</v>
      </c>
      <c r="M98" s="20">
        <v>15.55</v>
      </c>
      <c r="N98" s="21">
        <f>(Table1[[#This Row],[Quantity]]*Table1[[#This Row],[Unit Price]])*(1-Table1[[#This Row],[Discount]])</f>
        <v>424.11600000000004</v>
      </c>
      <c r="O98" s="21">
        <f>(Table1[[#This Row],[Unit Price]]-Table1[[#This Row],[Unit Cost]])*Table1[[#This Row],[Quantity]]</f>
        <v>206.88999999999996</v>
      </c>
      <c r="P98" s="9" t="str">
        <f t="shared" si="1"/>
        <v>Standard</v>
      </c>
      <c r="Q98" s="9" t="str">
        <f>IF(Table1[[#This Row],[Discount]]&gt;=15%,"HIGH",IF(Table1[[#This Row],[Discount]]&gt;=55,"MEDIUM","NONE"))</f>
        <v>NONE</v>
      </c>
      <c r="R98" s="9">
        <f>Table1[[#This Row],[Ship Date]]-Table1[[#This Row],[Order Date]]</f>
        <v>3</v>
      </c>
      <c r="S98" s="9">
        <f>VLOOKUP(Table1[[#This Row],[Region]],Table2[],2,FALSE)</f>
        <v>120000</v>
      </c>
      <c r="T98" s="9">
        <f>INDEX(Table2[Quarterly Target],MATCH(Table1[[#This Row],[Region]],Table2[[Region ]],0))</f>
        <v>120000</v>
      </c>
      <c r="U98" s="9">
        <f>RANK(Table1[[#This Row],[Sales]],Table1[Sales])</f>
        <v>240</v>
      </c>
      <c r="V98" s="21">
        <f>SUM(N$2:N99)</f>
        <v>319955.41600000008</v>
      </c>
    </row>
    <row r="99" spans="1:22" x14ac:dyDescent="0.25">
      <c r="A99" s="5" t="s">
        <v>304</v>
      </c>
      <c r="B99" s="6" t="s">
        <v>15</v>
      </c>
      <c r="C99" s="6" t="s">
        <v>15</v>
      </c>
      <c r="D99" s="7" t="s">
        <v>24</v>
      </c>
      <c r="E99" s="7" t="s">
        <v>55</v>
      </c>
      <c r="F99" s="7" t="s">
        <v>60</v>
      </c>
      <c r="G99" s="7" t="s">
        <v>97</v>
      </c>
      <c r="H99" s="7" t="s">
        <v>20</v>
      </c>
      <c r="I99" s="7" t="s">
        <v>21</v>
      </c>
      <c r="J99" s="7">
        <v>4</v>
      </c>
      <c r="K99" s="24">
        <v>613.80999999999995</v>
      </c>
      <c r="L99" s="8">
        <v>0.05</v>
      </c>
      <c r="M99" s="20">
        <v>348.87</v>
      </c>
      <c r="N99" s="21">
        <f>(Table1[[#This Row],[Quantity]]*Table1[[#This Row],[Unit Price]])*(1-Table1[[#This Row],[Discount]])</f>
        <v>2332.4779999999996</v>
      </c>
      <c r="O99" s="21">
        <f>(Table1[[#This Row],[Unit Price]]-Table1[[#This Row],[Unit Cost]])*Table1[[#This Row],[Quantity]]</f>
        <v>1059.7599999999998</v>
      </c>
      <c r="P99" s="9" t="str">
        <f t="shared" si="1"/>
        <v>Bulk</v>
      </c>
      <c r="Q99" s="9" t="str">
        <f>IF(Table1[[#This Row],[Discount]]&gt;=15%,"HIGH",IF(Table1[[#This Row],[Discount]]&gt;=55,"MEDIUM","NONE"))</f>
        <v>NONE</v>
      </c>
      <c r="R99" s="9">
        <f>Table1[[#This Row],[Ship Date]]-Table1[[#This Row],[Order Date]]</f>
        <v>0</v>
      </c>
      <c r="S99" s="9">
        <f>VLOOKUP(Table1[[#This Row],[Region]],Table2[],2,FALSE)</f>
        <v>160000</v>
      </c>
      <c r="T99" s="9">
        <f>INDEX(Table2[Quarterly Target],MATCH(Table1[[#This Row],[Region]],Table2[[Region ]],0))</f>
        <v>160000</v>
      </c>
      <c r="U99" s="9">
        <f>RANK(Table1[[#This Row],[Sales]],Table1[Sales])</f>
        <v>132</v>
      </c>
      <c r="V99" s="21">
        <f>SUM(N$2:N100)</f>
        <v>328555.00600000011</v>
      </c>
    </row>
    <row r="100" spans="1:22" x14ac:dyDescent="0.25">
      <c r="A100" s="5" t="s">
        <v>305</v>
      </c>
      <c r="B100" s="6" t="s">
        <v>306</v>
      </c>
      <c r="C100" s="6" t="s">
        <v>307</v>
      </c>
      <c r="D100" s="7" t="s">
        <v>30</v>
      </c>
      <c r="E100" s="7" t="s">
        <v>37</v>
      </c>
      <c r="F100" s="7" t="s">
        <v>25</v>
      </c>
      <c r="G100" s="7" t="s">
        <v>32</v>
      </c>
      <c r="H100" s="7" t="s">
        <v>45</v>
      </c>
      <c r="I100" s="7" t="s">
        <v>46</v>
      </c>
      <c r="J100" s="7">
        <v>20</v>
      </c>
      <c r="K100" s="24">
        <v>452.61</v>
      </c>
      <c r="L100" s="8">
        <v>0.05</v>
      </c>
      <c r="M100" s="20">
        <v>306.14</v>
      </c>
      <c r="N100" s="21">
        <f>(Table1[[#This Row],[Quantity]]*Table1[[#This Row],[Unit Price]])*(1-Table1[[#This Row],[Discount]])</f>
        <v>8599.59</v>
      </c>
      <c r="O100" s="21">
        <f>(Table1[[#This Row],[Unit Price]]-Table1[[#This Row],[Unit Cost]])*Table1[[#This Row],[Quantity]]</f>
        <v>2929.4000000000005</v>
      </c>
      <c r="P100" s="9" t="str">
        <f t="shared" si="1"/>
        <v>Standard</v>
      </c>
      <c r="Q100" s="9" t="str">
        <f>IF(Table1[[#This Row],[Discount]]&gt;=15%,"HIGH",IF(Table1[[#This Row],[Discount]]&gt;=55,"MEDIUM","NONE"))</f>
        <v>NONE</v>
      </c>
      <c r="R100" s="9">
        <f>Table1[[#This Row],[Ship Date]]-Table1[[#This Row],[Order Date]]</f>
        <v>2</v>
      </c>
      <c r="S100" s="9">
        <f>VLOOKUP(Table1[[#This Row],[Region]],Table2[],2,FALSE)</f>
        <v>130000</v>
      </c>
      <c r="T100" s="9">
        <f>INDEX(Table2[Quarterly Target],MATCH(Table1[[#This Row],[Region]],Table2[[Region ]],0))</f>
        <v>130000</v>
      </c>
      <c r="U100" s="9">
        <f>RANK(Table1[[#This Row],[Sales]],Table1[Sales])</f>
        <v>54</v>
      </c>
      <c r="V100" s="21">
        <f>SUM(N$2:N101)</f>
        <v>331920.70200000011</v>
      </c>
    </row>
    <row r="101" spans="1:22" x14ac:dyDescent="0.25">
      <c r="A101" s="5" t="s">
        <v>308</v>
      </c>
      <c r="B101" s="6" t="s">
        <v>309</v>
      </c>
      <c r="C101" s="6" t="s">
        <v>310</v>
      </c>
      <c r="D101" s="7" t="s">
        <v>30</v>
      </c>
      <c r="E101" s="7" t="s">
        <v>87</v>
      </c>
      <c r="F101" s="7" t="s">
        <v>38</v>
      </c>
      <c r="G101" s="7" t="s">
        <v>97</v>
      </c>
      <c r="H101" s="7" t="s">
        <v>20</v>
      </c>
      <c r="I101" s="7" t="s">
        <v>151</v>
      </c>
      <c r="J101" s="7">
        <v>8</v>
      </c>
      <c r="K101" s="24">
        <v>525.89</v>
      </c>
      <c r="L101" s="8">
        <v>0.2</v>
      </c>
      <c r="M101" s="20">
        <v>348.86</v>
      </c>
      <c r="N101" s="21">
        <f>(Table1[[#This Row],[Quantity]]*Table1[[#This Row],[Unit Price]])*(1-Table1[[#This Row],[Discount]])</f>
        <v>3365.6959999999999</v>
      </c>
      <c r="O101" s="21">
        <f>(Table1[[#This Row],[Unit Price]]-Table1[[#This Row],[Unit Cost]])*Table1[[#This Row],[Quantity]]</f>
        <v>1416.2399999999998</v>
      </c>
      <c r="P101" s="9" t="str">
        <f t="shared" si="1"/>
        <v>Bulk</v>
      </c>
      <c r="Q101" s="9" t="str">
        <f>IF(Table1[[#This Row],[Discount]]&gt;=15%,"HIGH",IF(Table1[[#This Row],[Discount]]&gt;=55,"MEDIUM","NONE"))</f>
        <v>HIGH</v>
      </c>
      <c r="R101" s="9">
        <f>Table1[[#This Row],[Ship Date]]-Table1[[#This Row],[Order Date]]</f>
        <v>2</v>
      </c>
      <c r="S101" s="9">
        <f>VLOOKUP(Table1[[#This Row],[Region]],Table2[],2,FALSE)</f>
        <v>120000</v>
      </c>
      <c r="T101" s="9">
        <f>INDEX(Table2[Quarterly Target],MATCH(Table1[[#This Row],[Region]],Table2[[Region ]],0))</f>
        <v>120000</v>
      </c>
      <c r="U101" s="9">
        <f>RANK(Table1[[#This Row],[Sales]],Table1[Sales])</f>
        <v>116</v>
      </c>
      <c r="V101" s="21">
        <f>SUM(N$2:N102)</f>
        <v>332117.43800000008</v>
      </c>
    </row>
    <row r="102" spans="1:22" x14ac:dyDescent="0.25">
      <c r="A102" s="5" t="s">
        <v>311</v>
      </c>
      <c r="B102" s="6" t="s">
        <v>312</v>
      </c>
      <c r="C102" s="6" t="s">
        <v>312</v>
      </c>
      <c r="D102" s="7" t="s">
        <v>24</v>
      </c>
      <c r="E102" s="7" t="s">
        <v>206</v>
      </c>
      <c r="F102" s="7" t="s">
        <v>18</v>
      </c>
      <c r="G102" s="7" t="s">
        <v>50</v>
      </c>
      <c r="H102" s="7" t="s">
        <v>61</v>
      </c>
      <c r="I102" s="7" t="s">
        <v>169</v>
      </c>
      <c r="J102" s="7">
        <v>16</v>
      </c>
      <c r="K102" s="24">
        <v>15.37</v>
      </c>
      <c r="L102" s="8">
        <v>0.2</v>
      </c>
      <c r="M102" s="20">
        <v>8.7799999999999994</v>
      </c>
      <c r="N102" s="21">
        <f>(Table1[[#This Row],[Quantity]]*Table1[[#This Row],[Unit Price]])*(1-Table1[[#This Row],[Discount]])</f>
        <v>196.73599999999999</v>
      </c>
      <c r="O102" s="21">
        <f>(Table1[[#This Row],[Unit Price]]-Table1[[#This Row],[Unit Cost]])*Table1[[#This Row],[Quantity]]</f>
        <v>105.44</v>
      </c>
      <c r="P102" s="9" t="str">
        <f t="shared" si="1"/>
        <v>Standard</v>
      </c>
      <c r="Q102" s="9" t="str">
        <f>IF(Table1[[#This Row],[Discount]]&gt;=15%,"HIGH",IF(Table1[[#This Row],[Discount]]&gt;=55,"MEDIUM","NONE"))</f>
        <v>HIGH</v>
      </c>
      <c r="R102" s="9">
        <f>Table1[[#This Row],[Ship Date]]-Table1[[#This Row],[Order Date]]</f>
        <v>0</v>
      </c>
      <c r="S102" s="9">
        <f>VLOOKUP(Table1[[#This Row],[Region]],Table2[],2,FALSE)</f>
        <v>140000</v>
      </c>
      <c r="T102" s="9">
        <f>INDEX(Table2[Quarterly Target],MATCH(Table1[[#This Row],[Region]],Table2[[Region ]],0))</f>
        <v>140000</v>
      </c>
      <c r="U102" s="9">
        <f>RANK(Table1[[#This Row],[Sales]],Table1[Sales])</f>
        <v>315</v>
      </c>
      <c r="V102" s="21">
        <f>SUM(N$2:N103)</f>
        <v>333282.23800000007</v>
      </c>
    </row>
    <row r="103" spans="1:22" x14ac:dyDescent="0.25">
      <c r="A103" s="5" t="s">
        <v>313</v>
      </c>
      <c r="B103" s="6" t="s">
        <v>314</v>
      </c>
      <c r="C103" s="6" t="s">
        <v>314</v>
      </c>
      <c r="D103" s="7" t="s">
        <v>24</v>
      </c>
      <c r="E103" s="7" t="s">
        <v>109</v>
      </c>
      <c r="F103" s="7" t="s">
        <v>43</v>
      </c>
      <c r="G103" s="7" t="s">
        <v>32</v>
      </c>
      <c r="H103" s="7" t="s">
        <v>45</v>
      </c>
      <c r="I103" s="7" t="s">
        <v>83</v>
      </c>
      <c r="J103" s="7">
        <v>4</v>
      </c>
      <c r="K103" s="24">
        <v>364</v>
      </c>
      <c r="L103" s="8">
        <v>0.2</v>
      </c>
      <c r="M103" s="20">
        <v>260.75</v>
      </c>
      <c r="N103" s="21">
        <f>(Table1[[#This Row],[Quantity]]*Table1[[#This Row],[Unit Price]])*(1-Table1[[#This Row],[Discount]])</f>
        <v>1164.8</v>
      </c>
      <c r="O103" s="21">
        <f>(Table1[[#This Row],[Unit Price]]-Table1[[#This Row],[Unit Cost]])*Table1[[#This Row],[Quantity]]</f>
        <v>413</v>
      </c>
      <c r="P103" s="9" t="str">
        <f t="shared" si="1"/>
        <v>Bulk</v>
      </c>
      <c r="Q103" s="9" t="str">
        <f>IF(Table1[[#This Row],[Discount]]&gt;=15%,"HIGH",IF(Table1[[#This Row],[Discount]]&gt;=55,"MEDIUM","NONE"))</f>
        <v>HIGH</v>
      </c>
      <c r="R103" s="9">
        <f>Table1[[#This Row],[Ship Date]]-Table1[[#This Row],[Order Date]]</f>
        <v>0</v>
      </c>
      <c r="S103" s="9">
        <f>VLOOKUP(Table1[[#This Row],[Region]],Table2[],2,FALSE)</f>
        <v>150000</v>
      </c>
      <c r="T103" s="9">
        <f>INDEX(Table2[Quarterly Target],MATCH(Table1[[#This Row],[Region]],Table2[[Region ]],0))</f>
        <v>150000</v>
      </c>
      <c r="U103" s="9">
        <f>RANK(Table1[[#This Row],[Sales]],Table1[Sales])</f>
        <v>169</v>
      </c>
      <c r="V103" s="21">
        <f>SUM(N$2:N104)</f>
        <v>333639.87000000005</v>
      </c>
    </row>
    <row r="104" spans="1:22" x14ac:dyDescent="0.25">
      <c r="A104" s="5" t="s">
        <v>315</v>
      </c>
      <c r="B104" s="6" t="s">
        <v>316</v>
      </c>
      <c r="C104" s="6" t="s">
        <v>317</v>
      </c>
      <c r="D104" s="7" t="s">
        <v>16</v>
      </c>
      <c r="E104" s="7" t="s">
        <v>109</v>
      </c>
      <c r="F104" s="7" t="s">
        <v>43</v>
      </c>
      <c r="G104" s="7" t="s">
        <v>19</v>
      </c>
      <c r="H104" s="7" t="s">
        <v>33</v>
      </c>
      <c r="I104" s="7" t="s">
        <v>39</v>
      </c>
      <c r="J104" s="7">
        <v>22</v>
      </c>
      <c r="K104" s="24">
        <v>20.32</v>
      </c>
      <c r="L104" s="8">
        <v>0.2</v>
      </c>
      <c r="M104" s="20">
        <v>11.73</v>
      </c>
      <c r="N104" s="21">
        <f>(Table1[[#This Row],[Quantity]]*Table1[[#This Row],[Unit Price]])*(1-Table1[[#This Row],[Discount]])</f>
        <v>357.63200000000006</v>
      </c>
      <c r="O104" s="21">
        <f>(Table1[[#This Row],[Unit Price]]-Table1[[#This Row],[Unit Cost]])*Table1[[#This Row],[Quantity]]</f>
        <v>188.98</v>
      </c>
      <c r="P104" s="9" t="str">
        <f t="shared" si="1"/>
        <v>Standard</v>
      </c>
      <c r="Q104" s="9" t="str">
        <f>IF(Table1[[#This Row],[Discount]]&gt;=15%,"HIGH",IF(Table1[[#This Row],[Discount]]&gt;=55,"MEDIUM","NONE"))</f>
        <v>HIGH</v>
      </c>
      <c r="R104" s="9">
        <f>Table1[[#This Row],[Ship Date]]-Table1[[#This Row],[Order Date]]</f>
        <v>6</v>
      </c>
      <c r="S104" s="9">
        <f>VLOOKUP(Table1[[#This Row],[Region]],Table2[],2,FALSE)</f>
        <v>150000</v>
      </c>
      <c r="T104" s="9">
        <f>INDEX(Table2[Quarterly Target],MATCH(Table1[[#This Row],[Region]],Table2[[Region ]],0))</f>
        <v>150000</v>
      </c>
      <c r="U104" s="9">
        <f>RANK(Table1[[#This Row],[Sales]],Table1[Sales])</f>
        <v>258</v>
      </c>
      <c r="V104" s="21">
        <f>SUM(N$2:N105)</f>
        <v>348463.47000000003</v>
      </c>
    </row>
    <row r="105" spans="1:22" x14ac:dyDescent="0.25">
      <c r="A105" s="5" t="s">
        <v>318</v>
      </c>
      <c r="B105" s="6" t="s">
        <v>319</v>
      </c>
      <c r="C105" s="6" t="s">
        <v>319</v>
      </c>
      <c r="D105" s="7" t="s">
        <v>24</v>
      </c>
      <c r="E105" s="7" t="s">
        <v>112</v>
      </c>
      <c r="F105" s="7" t="s">
        <v>38</v>
      </c>
      <c r="G105" s="7" t="s">
        <v>26</v>
      </c>
      <c r="H105" s="7" t="s">
        <v>45</v>
      </c>
      <c r="I105" s="7" t="s">
        <v>143</v>
      </c>
      <c r="J105" s="7">
        <v>22</v>
      </c>
      <c r="K105" s="24">
        <v>673.8</v>
      </c>
      <c r="L105" s="8">
        <v>0</v>
      </c>
      <c r="M105" s="20">
        <v>375.47</v>
      </c>
      <c r="N105" s="21">
        <f>(Table1[[#This Row],[Quantity]]*Table1[[#This Row],[Unit Price]])*(1-Table1[[#This Row],[Discount]])</f>
        <v>14823.599999999999</v>
      </c>
      <c r="O105" s="21">
        <f>(Table1[[#This Row],[Unit Price]]-Table1[[#This Row],[Unit Cost]])*Table1[[#This Row],[Quantity]]</f>
        <v>6563.2599999999984</v>
      </c>
      <c r="P105" s="9" t="str">
        <f t="shared" si="1"/>
        <v>Bulk</v>
      </c>
      <c r="Q105" s="9" t="str">
        <f>IF(Table1[[#This Row],[Discount]]&gt;=15%,"HIGH",IF(Table1[[#This Row],[Discount]]&gt;=55,"MEDIUM","NONE"))</f>
        <v>NONE</v>
      </c>
      <c r="R105" s="9">
        <f>Table1[[#This Row],[Ship Date]]-Table1[[#This Row],[Order Date]]</f>
        <v>0</v>
      </c>
      <c r="S105" s="9">
        <f>VLOOKUP(Table1[[#This Row],[Region]],Table2[],2,FALSE)</f>
        <v>120000</v>
      </c>
      <c r="T105" s="9">
        <f>INDEX(Table2[Quarterly Target],MATCH(Table1[[#This Row],[Region]],Table2[[Region ]],0))</f>
        <v>120000</v>
      </c>
      <c r="U105" s="9">
        <f>RANK(Table1[[#This Row],[Sales]],Table1[Sales])</f>
        <v>17</v>
      </c>
      <c r="V105" s="21">
        <f>SUM(N$2:N106)</f>
        <v>348614.27</v>
      </c>
    </row>
    <row r="106" spans="1:22" x14ac:dyDescent="0.25">
      <c r="A106" s="5" t="s">
        <v>320</v>
      </c>
      <c r="B106" s="6" t="s">
        <v>321</v>
      </c>
      <c r="C106" s="6" t="s">
        <v>322</v>
      </c>
      <c r="D106" s="7" t="s">
        <v>16</v>
      </c>
      <c r="E106" s="7" t="s">
        <v>59</v>
      </c>
      <c r="F106" s="7" t="s">
        <v>25</v>
      </c>
      <c r="G106" s="7" t="s">
        <v>97</v>
      </c>
      <c r="H106" s="7" t="s">
        <v>33</v>
      </c>
      <c r="I106" s="7" t="s">
        <v>34</v>
      </c>
      <c r="J106" s="7">
        <v>5</v>
      </c>
      <c r="K106" s="24">
        <v>30.16</v>
      </c>
      <c r="L106" s="8">
        <v>0</v>
      </c>
      <c r="M106" s="20">
        <v>17.28</v>
      </c>
      <c r="N106" s="21">
        <f>(Table1[[#This Row],[Quantity]]*Table1[[#This Row],[Unit Price]])*(1-Table1[[#This Row],[Discount]])</f>
        <v>150.80000000000001</v>
      </c>
      <c r="O106" s="21">
        <f>(Table1[[#This Row],[Unit Price]]-Table1[[#This Row],[Unit Cost]])*Table1[[#This Row],[Quantity]]</f>
        <v>64.399999999999991</v>
      </c>
      <c r="P106" s="9" t="str">
        <f t="shared" si="1"/>
        <v>Bulk</v>
      </c>
      <c r="Q106" s="9" t="str">
        <f>IF(Table1[[#This Row],[Discount]]&gt;=15%,"HIGH",IF(Table1[[#This Row],[Discount]]&gt;=55,"MEDIUM","NONE"))</f>
        <v>NONE</v>
      </c>
      <c r="R106" s="9">
        <f>Table1[[#This Row],[Ship Date]]-Table1[[#This Row],[Order Date]]</f>
        <v>5</v>
      </c>
      <c r="S106" s="9">
        <f>VLOOKUP(Table1[[#This Row],[Region]],Table2[],2,FALSE)</f>
        <v>130000</v>
      </c>
      <c r="T106" s="9">
        <f>INDEX(Table2[Quarterly Target],MATCH(Table1[[#This Row],[Region]],Table2[[Region ]],0))</f>
        <v>130000</v>
      </c>
      <c r="U106" s="9">
        <f>RANK(Table1[[#This Row],[Sales]],Table1[Sales])</f>
        <v>333</v>
      </c>
      <c r="V106" s="21">
        <f>SUM(N$2:N107)</f>
        <v>349328.55499999999</v>
      </c>
    </row>
    <row r="107" spans="1:22" x14ac:dyDescent="0.25">
      <c r="A107" s="5" t="s">
        <v>323</v>
      </c>
      <c r="B107" s="6" t="s">
        <v>115</v>
      </c>
      <c r="C107" s="6" t="s">
        <v>115</v>
      </c>
      <c r="D107" s="7" t="s">
        <v>24</v>
      </c>
      <c r="E107" s="7" t="s">
        <v>206</v>
      </c>
      <c r="F107" s="7" t="s">
        <v>25</v>
      </c>
      <c r="G107" s="7" t="s">
        <v>44</v>
      </c>
      <c r="H107" s="7" t="s">
        <v>61</v>
      </c>
      <c r="I107" s="7" t="s">
        <v>169</v>
      </c>
      <c r="J107" s="7">
        <v>11</v>
      </c>
      <c r="K107" s="24">
        <v>72.150000000000006</v>
      </c>
      <c r="L107" s="8">
        <v>0.1</v>
      </c>
      <c r="M107" s="20">
        <v>50.44</v>
      </c>
      <c r="N107" s="21">
        <f>(Table1[[#This Row],[Quantity]]*Table1[[#This Row],[Unit Price]])*(1-Table1[[#This Row],[Discount]])</f>
        <v>714.28500000000008</v>
      </c>
      <c r="O107" s="21">
        <f>(Table1[[#This Row],[Unit Price]]-Table1[[#This Row],[Unit Cost]])*Table1[[#This Row],[Quantity]]</f>
        <v>238.81000000000009</v>
      </c>
      <c r="P107" s="9" t="str">
        <f t="shared" si="1"/>
        <v>Standard</v>
      </c>
      <c r="Q107" s="9" t="str">
        <f>IF(Table1[[#This Row],[Discount]]&gt;=15%,"HIGH",IF(Table1[[#This Row],[Discount]]&gt;=55,"MEDIUM","NONE"))</f>
        <v>NONE</v>
      </c>
      <c r="R107" s="9">
        <f>Table1[[#This Row],[Ship Date]]-Table1[[#This Row],[Order Date]]</f>
        <v>0</v>
      </c>
      <c r="S107" s="9">
        <f>VLOOKUP(Table1[[#This Row],[Region]],Table2[],2,FALSE)</f>
        <v>130000</v>
      </c>
      <c r="T107" s="9">
        <f>INDEX(Table2[Quarterly Target],MATCH(Table1[[#This Row],[Region]],Table2[[Region ]],0))</f>
        <v>130000</v>
      </c>
      <c r="U107" s="9">
        <f>RANK(Table1[[#This Row],[Sales]],Table1[Sales])</f>
        <v>202</v>
      </c>
      <c r="V107" s="21">
        <f>SUM(N$2:N108)</f>
        <v>357421.73800000001</v>
      </c>
    </row>
    <row r="108" spans="1:22" x14ac:dyDescent="0.25">
      <c r="A108" s="5" t="s">
        <v>324</v>
      </c>
      <c r="B108" s="6" t="s">
        <v>325</v>
      </c>
      <c r="C108" s="6" t="s">
        <v>325</v>
      </c>
      <c r="D108" s="7" t="s">
        <v>24</v>
      </c>
      <c r="E108" s="7" t="s">
        <v>37</v>
      </c>
      <c r="F108" s="7" t="s">
        <v>43</v>
      </c>
      <c r="G108" s="7" t="s">
        <v>82</v>
      </c>
      <c r="H108" s="7" t="s">
        <v>20</v>
      </c>
      <c r="I108" s="7" t="s">
        <v>151</v>
      </c>
      <c r="J108" s="7">
        <v>14</v>
      </c>
      <c r="K108" s="24">
        <v>608.51</v>
      </c>
      <c r="L108" s="8">
        <v>0.05</v>
      </c>
      <c r="M108" s="20">
        <v>397.69</v>
      </c>
      <c r="N108" s="21">
        <f>(Table1[[#This Row],[Quantity]]*Table1[[#This Row],[Unit Price]])*(1-Table1[[#This Row],[Discount]])</f>
        <v>8093.1829999999991</v>
      </c>
      <c r="O108" s="21">
        <f>(Table1[[#This Row],[Unit Price]]-Table1[[#This Row],[Unit Cost]])*Table1[[#This Row],[Quantity]]</f>
        <v>2951.48</v>
      </c>
      <c r="P108" s="9" t="str">
        <f t="shared" si="1"/>
        <v>Bulk</v>
      </c>
      <c r="Q108" s="9" t="str">
        <f>IF(Table1[[#This Row],[Discount]]&gt;=15%,"HIGH",IF(Table1[[#This Row],[Discount]]&gt;=55,"MEDIUM","NONE"))</f>
        <v>NONE</v>
      </c>
      <c r="R108" s="9">
        <f>Table1[[#This Row],[Ship Date]]-Table1[[#This Row],[Order Date]]</f>
        <v>0</v>
      </c>
      <c r="S108" s="9">
        <f>VLOOKUP(Table1[[#This Row],[Region]],Table2[],2,FALSE)</f>
        <v>150000</v>
      </c>
      <c r="T108" s="9">
        <f>INDEX(Table2[Quarterly Target],MATCH(Table1[[#This Row],[Region]],Table2[[Region ]],0))</f>
        <v>150000</v>
      </c>
      <c r="U108" s="9">
        <f>RANK(Table1[[#This Row],[Sales]],Table1[Sales])</f>
        <v>61</v>
      </c>
      <c r="V108" s="21">
        <f>SUM(N$2:N109)</f>
        <v>358184.478</v>
      </c>
    </row>
    <row r="109" spans="1:22" x14ac:dyDescent="0.25">
      <c r="A109" s="5" t="s">
        <v>326</v>
      </c>
      <c r="B109" s="6" t="s">
        <v>327</v>
      </c>
      <c r="C109" s="6" t="s">
        <v>327</v>
      </c>
      <c r="D109" s="7" t="s">
        <v>24</v>
      </c>
      <c r="E109" s="7" t="s">
        <v>109</v>
      </c>
      <c r="F109" s="7" t="s">
        <v>18</v>
      </c>
      <c r="G109" s="7" t="s">
        <v>82</v>
      </c>
      <c r="H109" s="7" t="s">
        <v>61</v>
      </c>
      <c r="I109" s="7" t="s">
        <v>106</v>
      </c>
      <c r="J109" s="7">
        <v>22</v>
      </c>
      <c r="K109" s="24">
        <v>34.67</v>
      </c>
      <c r="L109" s="8">
        <v>0</v>
      </c>
      <c r="M109" s="20">
        <v>22.49</v>
      </c>
      <c r="N109" s="21">
        <f>(Table1[[#This Row],[Quantity]]*Table1[[#This Row],[Unit Price]])*(1-Table1[[#This Row],[Discount]])</f>
        <v>762.74</v>
      </c>
      <c r="O109" s="21">
        <f>(Table1[[#This Row],[Unit Price]]-Table1[[#This Row],[Unit Cost]])*Table1[[#This Row],[Quantity]]</f>
        <v>267.96000000000009</v>
      </c>
      <c r="P109" s="9" t="str">
        <f t="shared" si="1"/>
        <v>Bulk</v>
      </c>
      <c r="Q109" s="9" t="str">
        <f>IF(Table1[[#This Row],[Discount]]&gt;=15%,"HIGH",IF(Table1[[#This Row],[Discount]]&gt;=55,"MEDIUM","NONE"))</f>
        <v>NONE</v>
      </c>
      <c r="R109" s="9">
        <f>Table1[[#This Row],[Ship Date]]-Table1[[#This Row],[Order Date]]</f>
        <v>0</v>
      </c>
      <c r="S109" s="9">
        <f>VLOOKUP(Table1[[#This Row],[Region]],Table2[],2,FALSE)</f>
        <v>140000</v>
      </c>
      <c r="T109" s="9">
        <f>INDEX(Table2[Quarterly Target],MATCH(Table1[[#This Row],[Region]],Table2[[Region ]],0))</f>
        <v>140000</v>
      </c>
      <c r="U109" s="9">
        <f>RANK(Table1[[#This Row],[Sales]],Table1[Sales])</f>
        <v>194</v>
      </c>
      <c r="V109" s="21">
        <f>SUM(N$2:N110)</f>
        <v>358192.26400000002</v>
      </c>
    </row>
    <row r="110" spans="1:22" x14ac:dyDescent="0.25">
      <c r="A110" s="5" t="s">
        <v>328</v>
      </c>
      <c r="B110" s="6" t="s">
        <v>329</v>
      </c>
      <c r="C110" s="6" t="s">
        <v>330</v>
      </c>
      <c r="D110" s="7" t="s">
        <v>30</v>
      </c>
      <c r="E110" s="7" t="s">
        <v>37</v>
      </c>
      <c r="F110" s="7" t="s">
        <v>25</v>
      </c>
      <c r="G110" s="7" t="s">
        <v>44</v>
      </c>
      <c r="H110" s="7" t="s">
        <v>33</v>
      </c>
      <c r="I110" s="7" t="s">
        <v>51</v>
      </c>
      <c r="J110" s="7">
        <v>4</v>
      </c>
      <c r="K110" s="24">
        <v>2.29</v>
      </c>
      <c r="L110" s="8">
        <v>0.15</v>
      </c>
      <c r="M110" s="20">
        <v>1.51</v>
      </c>
      <c r="N110" s="21">
        <f>(Table1[[#This Row],[Quantity]]*Table1[[#This Row],[Unit Price]])*(1-Table1[[#This Row],[Discount]])</f>
        <v>7.7859999999999996</v>
      </c>
      <c r="O110" s="21">
        <f>(Table1[[#This Row],[Unit Price]]-Table1[[#This Row],[Unit Cost]])*Table1[[#This Row],[Quantity]]</f>
        <v>3.12</v>
      </c>
      <c r="P110" s="9" t="str">
        <f t="shared" si="1"/>
        <v>Bulk</v>
      </c>
      <c r="Q110" s="9" t="str">
        <f>IF(Table1[[#This Row],[Discount]]&gt;=15%,"HIGH",IF(Table1[[#This Row],[Discount]]&gt;=55,"MEDIUM","NONE"))</f>
        <v>HIGH</v>
      </c>
      <c r="R110" s="9">
        <f>Table1[[#This Row],[Ship Date]]-Table1[[#This Row],[Order Date]]</f>
        <v>3</v>
      </c>
      <c r="S110" s="9">
        <f>VLOOKUP(Table1[[#This Row],[Region]],Table2[],2,FALSE)</f>
        <v>130000</v>
      </c>
      <c r="T110" s="9">
        <f>INDEX(Table2[Quarterly Target],MATCH(Table1[[#This Row],[Region]],Table2[[Region ]],0))</f>
        <v>130000</v>
      </c>
      <c r="U110" s="9">
        <f>RANK(Table1[[#This Row],[Sales]],Table1[Sales])</f>
        <v>399</v>
      </c>
      <c r="V110" s="21">
        <f>SUM(N$2:N111)</f>
        <v>360383.46400000004</v>
      </c>
    </row>
    <row r="111" spans="1:22" x14ac:dyDescent="0.25">
      <c r="A111" s="5" t="s">
        <v>331</v>
      </c>
      <c r="B111" s="6" t="s">
        <v>194</v>
      </c>
      <c r="C111" s="6" t="s">
        <v>332</v>
      </c>
      <c r="D111" s="7" t="s">
        <v>30</v>
      </c>
      <c r="E111" s="7" t="s">
        <v>206</v>
      </c>
      <c r="F111" s="7" t="s">
        <v>38</v>
      </c>
      <c r="G111" s="7" t="s">
        <v>67</v>
      </c>
      <c r="H111" s="7" t="s">
        <v>45</v>
      </c>
      <c r="I111" s="7" t="s">
        <v>83</v>
      </c>
      <c r="J111" s="7">
        <v>24</v>
      </c>
      <c r="K111" s="24">
        <v>91.3</v>
      </c>
      <c r="L111" s="8">
        <v>0</v>
      </c>
      <c r="M111" s="20">
        <v>60.71</v>
      </c>
      <c r="N111" s="21">
        <f>(Table1[[#This Row],[Quantity]]*Table1[[#This Row],[Unit Price]])*(1-Table1[[#This Row],[Discount]])</f>
        <v>2191.1999999999998</v>
      </c>
      <c r="O111" s="21">
        <f>(Table1[[#This Row],[Unit Price]]-Table1[[#This Row],[Unit Cost]])*Table1[[#This Row],[Quantity]]</f>
        <v>734.15999999999985</v>
      </c>
      <c r="P111" s="9" t="str">
        <f t="shared" si="1"/>
        <v>Standard</v>
      </c>
      <c r="Q111" s="9" t="str">
        <f>IF(Table1[[#This Row],[Discount]]&gt;=15%,"HIGH",IF(Table1[[#This Row],[Discount]]&gt;=55,"MEDIUM","NONE"))</f>
        <v>NONE</v>
      </c>
      <c r="R111" s="9">
        <f>Table1[[#This Row],[Ship Date]]-Table1[[#This Row],[Order Date]]</f>
        <v>3</v>
      </c>
      <c r="S111" s="9">
        <f>VLOOKUP(Table1[[#This Row],[Region]],Table2[],2,FALSE)</f>
        <v>120000</v>
      </c>
      <c r="T111" s="9">
        <f>INDEX(Table2[Quarterly Target],MATCH(Table1[[#This Row],[Region]],Table2[[Region ]],0))</f>
        <v>120000</v>
      </c>
      <c r="U111" s="9">
        <f>RANK(Table1[[#This Row],[Sales]],Table1[Sales])</f>
        <v>135</v>
      </c>
      <c r="V111" s="21">
        <f>SUM(N$2:N112)</f>
        <v>360535.17400000006</v>
      </c>
    </row>
    <row r="112" spans="1:22" x14ac:dyDescent="0.25">
      <c r="A112" s="5" t="s">
        <v>333</v>
      </c>
      <c r="B112" s="6" t="s">
        <v>334</v>
      </c>
      <c r="C112" s="6" t="s">
        <v>335</v>
      </c>
      <c r="D112" s="7" t="s">
        <v>16</v>
      </c>
      <c r="E112" s="7" t="s">
        <v>31</v>
      </c>
      <c r="F112" s="7" t="s">
        <v>60</v>
      </c>
      <c r="G112" s="7" t="s">
        <v>44</v>
      </c>
      <c r="H112" s="7" t="s">
        <v>61</v>
      </c>
      <c r="I112" s="7" t="s">
        <v>72</v>
      </c>
      <c r="J112" s="7">
        <v>13</v>
      </c>
      <c r="K112" s="24">
        <v>11.67</v>
      </c>
      <c r="L112" s="8">
        <v>0</v>
      </c>
      <c r="M112" s="20">
        <v>6.92</v>
      </c>
      <c r="N112" s="21">
        <f>(Table1[[#This Row],[Quantity]]*Table1[[#This Row],[Unit Price]])*(1-Table1[[#This Row],[Discount]])</f>
        <v>151.71</v>
      </c>
      <c r="O112" s="21">
        <f>(Table1[[#This Row],[Unit Price]]-Table1[[#This Row],[Unit Cost]])*Table1[[#This Row],[Quantity]]</f>
        <v>61.75</v>
      </c>
      <c r="P112" s="9" t="str">
        <f t="shared" si="1"/>
        <v>Bulk</v>
      </c>
      <c r="Q112" s="9" t="str">
        <f>IF(Table1[[#This Row],[Discount]]&gt;=15%,"HIGH",IF(Table1[[#This Row],[Discount]]&gt;=55,"MEDIUM","NONE"))</f>
        <v>NONE</v>
      </c>
      <c r="R112" s="9">
        <f>Table1[[#This Row],[Ship Date]]-Table1[[#This Row],[Order Date]]</f>
        <v>7</v>
      </c>
      <c r="S112" s="9">
        <f>VLOOKUP(Table1[[#This Row],[Region]],Table2[],2,FALSE)</f>
        <v>160000</v>
      </c>
      <c r="T112" s="9">
        <f>INDEX(Table2[Quarterly Target],MATCH(Table1[[#This Row],[Region]],Table2[[Region ]],0))</f>
        <v>160000</v>
      </c>
      <c r="U112" s="9">
        <f>RANK(Table1[[#This Row],[Sales]],Table1[Sales])</f>
        <v>332</v>
      </c>
      <c r="V112" s="21">
        <f>SUM(N$2:N113)</f>
        <v>360660.15400000004</v>
      </c>
    </row>
    <row r="113" spans="1:22" x14ac:dyDescent="0.25">
      <c r="A113" s="5" t="s">
        <v>336</v>
      </c>
      <c r="B113" s="6" t="s">
        <v>337</v>
      </c>
      <c r="C113" s="6" t="s">
        <v>337</v>
      </c>
      <c r="D113" s="7" t="s">
        <v>24</v>
      </c>
      <c r="E113" s="7" t="s">
        <v>31</v>
      </c>
      <c r="F113" s="7" t="s">
        <v>25</v>
      </c>
      <c r="G113" s="7" t="s">
        <v>97</v>
      </c>
      <c r="H113" s="7" t="s">
        <v>61</v>
      </c>
      <c r="I113" s="7" t="s">
        <v>106</v>
      </c>
      <c r="J113" s="7">
        <v>3</v>
      </c>
      <c r="K113" s="24">
        <v>41.66</v>
      </c>
      <c r="L113" s="8">
        <v>0</v>
      </c>
      <c r="M113" s="20">
        <v>30.68</v>
      </c>
      <c r="N113" s="21">
        <f>(Table1[[#This Row],[Quantity]]*Table1[[#This Row],[Unit Price]])*(1-Table1[[#This Row],[Discount]])</f>
        <v>124.97999999999999</v>
      </c>
      <c r="O113" s="21">
        <f>(Table1[[#This Row],[Unit Price]]-Table1[[#This Row],[Unit Cost]])*Table1[[#This Row],[Quantity]]</f>
        <v>32.939999999999991</v>
      </c>
      <c r="P113" s="9" t="str">
        <f t="shared" si="1"/>
        <v>Bulk</v>
      </c>
      <c r="Q113" s="9" t="str">
        <f>IF(Table1[[#This Row],[Discount]]&gt;=15%,"HIGH",IF(Table1[[#This Row],[Discount]]&gt;=55,"MEDIUM","NONE"))</f>
        <v>NONE</v>
      </c>
      <c r="R113" s="9">
        <f>Table1[[#This Row],[Ship Date]]-Table1[[#This Row],[Order Date]]</f>
        <v>0</v>
      </c>
      <c r="S113" s="9">
        <f>VLOOKUP(Table1[[#This Row],[Region]],Table2[],2,FALSE)</f>
        <v>130000</v>
      </c>
      <c r="T113" s="9">
        <f>INDEX(Table2[Quarterly Target],MATCH(Table1[[#This Row],[Region]],Table2[[Region ]],0))</f>
        <v>130000</v>
      </c>
      <c r="U113" s="9">
        <f>RANK(Table1[[#This Row],[Sales]],Table1[Sales])</f>
        <v>346</v>
      </c>
      <c r="V113" s="21">
        <f>SUM(N$2:N114)</f>
        <v>369170.45800000004</v>
      </c>
    </row>
    <row r="114" spans="1:22" x14ac:dyDescent="0.25">
      <c r="A114" s="5" t="s">
        <v>338</v>
      </c>
      <c r="B114" s="6" t="s">
        <v>339</v>
      </c>
      <c r="C114" s="6" t="s">
        <v>268</v>
      </c>
      <c r="D114" s="7" t="s">
        <v>30</v>
      </c>
      <c r="E114" s="7" t="s">
        <v>71</v>
      </c>
      <c r="F114" s="7" t="s">
        <v>43</v>
      </c>
      <c r="G114" s="7" t="s">
        <v>19</v>
      </c>
      <c r="H114" s="7" t="s">
        <v>20</v>
      </c>
      <c r="I114" s="7" t="s">
        <v>192</v>
      </c>
      <c r="J114" s="7">
        <v>12</v>
      </c>
      <c r="K114" s="24">
        <v>886.49</v>
      </c>
      <c r="L114" s="8">
        <v>0.2</v>
      </c>
      <c r="M114" s="20">
        <v>630.61</v>
      </c>
      <c r="N114" s="21">
        <f>(Table1[[#This Row],[Quantity]]*Table1[[#This Row],[Unit Price]])*(1-Table1[[#This Row],[Discount]])</f>
        <v>8510.3040000000019</v>
      </c>
      <c r="O114" s="21">
        <f>(Table1[[#This Row],[Unit Price]]-Table1[[#This Row],[Unit Cost]])*Table1[[#This Row],[Quantity]]</f>
        <v>3070.56</v>
      </c>
      <c r="P114" s="9" t="str">
        <f t="shared" si="1"/>
        <v>Standard</v>
      </c>
      <c r="Q114" s="9" t="str">
        <f>IF(Table1[[#This Row],[Discount]]&gt;=15%,"HIGH",IF(Table1[[#This Row],[Discount]]&gt;=55,"MEDIUM","NONE"))</f>
        <v>HIGH</v>
      </c>
      <c r="R114" s="9">
        <f>Table1[[#This Row],[Ship Date]]-Table1[[#This Row],[Order Date]]</f>
        <v>2</v>
      </c>
      <c r="S114" s="9">
        <f>VLOOKUP(Table1[[#This Row],[Region]],Table2[],2,FALSE)</f>
        <v>150000</v>
      </c>
      <c r="T114" s="9">
        <f>INDEX(Table2[Quarterly Target],MATCH(Table1[[#This Row],[Region]],Table2[[Region ]],0))</f>
        <v>150000</v>
      </c>
      <c r="U114" s="9">
        <f>RANK(Table1[[#This Row],[Sales]],Table1[Sales])</f>
        <v>56</v>
      </c>
      <c r="V114" s="21">
        <f>SUM(N$2:N115)</f>
        <v>369629.07400000002</v>
      </c>
    </row>
    <row r="115" spans="1:22" x14ac:dyDescent="0.25">
      <c r="A115" s="5" t="s">
        <v>340</v>
      </c>
      <c r="B115" s="6" t="s">
        <v>341</v>
      </c>
      <c r="C115" s="6" t="s">
        <v>341</v>
      </c>
      <c r="D115" s="7" t="s">
        <v>24</v>
      </c>
      <c r="E115" s="7" t="s">
        <v>78</v>
      </c>
      <c r="F115" s="7" t="s">
        <v>25</v>
      </c>
      <c r="G115" s="7" t="s">
        <v>50</v>
      </c>
      <c r="H115" s="7" t="s">
        <v>45</v>
      </c>
      <c r="I115" s="7" t="s">
        <v>148</v>
      </c>
      <c r="J115" s="7">
        <v>3</v>
      </c>
      <c r="K115" s="24">
        <v>191.09</v>
      </c>
      <c r="L115" s="8">
        <v>0.2</v>
      </c>
      <c r="M115" s="20">
        <v>135.1</v>
      </c>
      <c r="N115" s="21">
        <f>(Table1[[#This Row],[Quantity]]*Table1[[#This Row],[Unit Price]])*(1-Table1[[#This Row],[Discount]])</f>
        <v>458.61599999999999</v>
      </c>
      <c r="O115" s="21">
        <f>(Table1[[#This Row],[Unit Price]]-Table1[[#This Row],[Unit Cost]])*Table1[[#This Row],[Quantity]]</f>
        <v>167.97000000000003</v>
      </c>
      <c r="P115" s="9" t="str">
        <f t="shared" si="1"/>
        <v>Bulk</v>
      </c>
      <c r="Q115" s="9" t="str">
        <f>IF(Table1[[#This Row],[Discount]]&gt;=15%,"HIGH",IF(Table1[[#This Row],[Discount]]&gt;=55,"MEDIUM","NONE"))</f>
        <v>HIGH</v>
      </c>
      <c r="R115" s="9">
        <f>Table1[[#This Row],[Ship Date]]-Table1[[#This Row],[Order Date]]</f>
        <v>0</v>
      </c>
      <c r="S115" s="9">
        <f>VLOOKUP(Table1[[#This Row],[Region]],Table2[],2,FALSE)</f>
        <v>130000</v>
      </c>
      <c r="T115" s="9">
        <f>INDEX(Table2[Quarterly Target],MATCH(Table1[[#This Row],[Region]],Table2[[Region ]],0))</f>
        <v>130000</v>
      </c>
      <c r="U115" s="9">
        <f>RANK(Table1[[#This Row],[Sales]],Table1[Sales])</f>
        <v>233</v>
      </c>
      <c r="V115" s="21">
        <f>SUM(N$2:N116)</f>
        <v>369940.95400000003</v>
      </c>
    </row>
    <row r="116" spans="1:22" x14ac:dyDescent="0.25">
      <c r="A116" s="5" t="s">
        <v>342</v>
      </c>
      <c r="B116" s="6" t="s">
        <v>343</v>
      </c>
      <c r="C116" s="6" t="s">
        <v>344</v>
      </c>
      <c r="D116" s="7" t="s">
        <v>30</v>
      </c>
      <c r="E116" s="7" t="s">
        <v>75</v>
      </c>
      <c r="F116" s="7" t="s">
        <v>25</v>
      </c>
      <c r="G116" s="7" t="s">
        <v>67</v>
      </c>
      <c r="H116" s="7" t="s">
        <v>33</v>
      </c>
      <c r="I116" s="7" t="s">
        <v>39</v>
      </c>
      <c r="J116" s="7">
        <v>15</v>
      </c>
      <c r="K116" s="24">
        <v>25.99</v>
      </c>
      <c r="L116" s="8">
        <v>0.2</v>
      </c>
      <c r="M116" s="20">
        <v>16.079999999999998</v>
      </c>
      <c r="N116" s="21">
        <f>(Table1[[#This Row],[Quantity]]*Table1[[#This Row],[Unit Price]])*(1-Table1[[#This Row],[Discount]])</f>
        <v>311.88</v>
      </c>
      <c r="O116" s="21">
        <f>(Table1[[#This Row],[Unit Price]]-Table1[[#This Row],[Unit Cost]])*Table1[[#This Row],[Quantity]]</f>
        <v>148.65</v>
      </c>
      <c r="P116" s="9" t="str">
        <f t="shared" si="1"/>
        <v>Standard</v>
      </c>
      <c r="Q116" s="9" t="str">
        <f>IF(Table1[[#This Row],[Discount]]&gt;=15%,"HIGH",IF(Table1[[#This Row],[Discount]]&gt;=55,"MEDIUM","NONE"))</f>
        <v>HIGH</v>
      </c>
      <c r="R116" s="9">
        <f>Table1[[#This Row],[Ship Date]]-Table1[[#This Row],[Order Date]]</f>
        <v>3</v>
      </c>
      <c r="S116" s="9">
        <f>VLOOKUP(Table1[[#This Row],[Region]],Table2[],2,FALSE)</f>
        <v>130000</v>
      </c>
      <c r="T116" s="9">
        <f>INDEX(Table2[Quarterly Target],MATCH(Table1[[#This Row],[Region]],Table2[[Region ]],0))</f>
        <v>130000</v>
      </c>
      <c r="U116" s="9">
        <f>RANK(Table1[[#This Row],[Sales]],Table1[Sales])</f>
        <v>271</v>
      </c>
      <c r="V116" s="21">
        <f>SUM(N$2:N117)</f>
        <v>382018.35400000005</v>
      </c>
    </row>
    <row r="117" spans="1:22" x14ac:dyDescent="0.25">
      <c r="A117" s="5" t="s">
        <v>345</v>
      </c>
      <c r="B117" s="6" t="s">
        <v>346</v>
      </c>
      <c r="C117" s="6" t="s">
        <v>347</v>
      </c>
      <c r="D117" s="7" t="s">
        <v>16</v>
      </c>
      <c r="E117" s="7" t="s">
        <v>75</v>
      </c>
      <c r="F117" s="7" t="s">
        <v>60</v>
      </c>
      <c r="G117" s="7" t="s">
        <v>26</v>
      </c>
      <c r="H117" s="7" t="s">
        <v>20</v>
      </c>
      <c r="I117" s="7" t="s">
        <v>134</v>
      </c>
      <c r="J117" s="7">
        <v>12</v>
      </c>
      <c r="K117" s="24">
        <v>1006.45</v>
      </c>
      <c r="L117" s="8">
        <v>0</v>
      </c>
      <c r="M117" s="20">
        <v>715.75</v>
      </c>
      <c r="N117" s="21">
        <f>(Table1[[#This Row],[Quantity]]*Table1[[#This Row],[Unit Price]])*(1-Table1[[#This Row],[Discount]])</f>
        <v>12077.400000000001</v>
      </c>
      <c r="O117" s="21">
        <f>(Table1[[#This Row],[Unit Price]]-Table1[[#This Row],[Unit Cost]])*Table1[[#This Row],[Quantity]]</f>
        <v>3488.4000000000005</v>
      </c>
      <c r="P117" s="9" t="str">
        <f t="shared" si="1"/>
        <v>Bulk</v>
      </c>
      <c r="Q117" s="9" t="str">
        <f>IF(Table1[[#This Row],[Discount]]&gt;=15%,"HIGH",IF(Table1[[#This Row],[Discount]]&gt;=55,"MEDIUM","NONE"))</f>
        <v>NONE</v>
      </c>
      <c r="R117" s="9">
        <f>Table1[[#This Row],[Ship Date]]-Table1[[#This Row],[Order Date]]</f>
        <v>4</v>
      </c>
      <c r="S117" s="9">
        <f>VLOOKUP(Table1[[#This Row],[Region]],Table2[],2,FALSE)</f>
        <v>160000</v>
      </c>
      <c r="T117" s="9">
        <f>INDEX(Table2[Quarterly Target],MATCH(Table1[[#This Row],[Region]],Table2[[Region ]],0))</f>
        <v>160000</v>
      </c>
      <c r="U117" s="9">
        <f>RANK(Table1[[#This Row],[Sales]],Table1[Sales])</f>
        <v>32</v>
      </c>
      <c r="V117" s="21">
        <f>SUM(N$2:N118)</f>
        <v>392043.47400000005</v>
      </c>
    </row>
    <row r="118" spans="1:22" x14ac:dyDescent="0.25">
      <c r="A118" s="5" t="s">
        <v>348</v>
      </c>
      <c r="B118" s="6" t="s">
        <v>274</v>
      </c>
      <c r="C118" s="6" t="s">
        <v>274</v>
      </c>
      <c r="D118" s="7" t="s">
        <v>24</v>
      </c>
      <c r="E118" s="7" t="s">
        <v>87</v>
      </c>
      <c r="F118" s="7" t="s">
        <v>38</v>
      </c>
      <c r="G118" s="7" t="s">
        <v>32</v>
      </c>
      <c r="H118" s="7" t="s">
        <v>20</v>
      </c>
      <c r="I118" s="7" t="s">
        <v>139</v>
      </c>
      <c r="J118" s="7">
        <v>16</v>
      </c>
      <c r="K118" s="24">
        <v>626.57000000000005</v>
      </c>
      <c r="L118" s="8">
        <v>0</v>
      </c>
      <c r="M118" s="20">
        <v>415.18</v>
      </c>
      <c r="N118" s="21">
        <f>(Table1[[#This Row],[Quantity]]*Table1[[#This Row],[Unit Price]])*(1-Table1[[#This Row],[Discount]])</f>
        <v>10025.120000000001</v>
      </c>
      <c r="O118" s="21">
        <f>(Table1[[#This Row],[Unit Price]]-Table1[[#This Row],[Unit Cost]])*Table1[[#This Row],[Quantity]]</f>
        <v>3382.2400000000007</v>
      </c>
      <c r="P118" s="9" t="str">
        <f t="shared" si="1"/>
        <v>Bulk</v>
      </c>
      <c r="Q118" s="9" t="str">
        <f>IF(Table1[[#This Row],[Discount]]&gt;=15%,"HIGH",IF(Table1[[#This Row],[Discount]]&gt;=55,"MEDIUM","NONE"))</f>
        <v>NONE</v>
      </c>
      <c r="R118" s="9">
        <f>Table1[[#This Row],[Ship Date]]-Table1[[#This Row],[Order Date]]</f>
        <v>0</v>
      </c>
      <c r="S118" s="9">
        <f>VLOOKUP(Table1[[#This Row],[Region]],Table2[],2,FALSE)</f>
        <v>120000</v>
      </c>
      <c r="T118" s="9">
        <f>INDEX(Table2[Quarterly Target],MATCH(Table1[[#This Row],[Region]],Table2[[Region ]],0))</f>
        <v>120000</v>
      </c>
      <c r="U118" s="9">
        <f>RANK(Table1[[#This Row],[Sales]],Table1[Sales])</f>
        <v>44</v>
      </c>
      <c r="V118" s="21">
        <f>SUM(N$2:N119)</f>
        <v>400734.89400000003</v>
      </c>
    </row>
    <row r="119" spans="1:22" x14ac:dyDescent="0.25">
      <c r="A119" s="5" t="s">
        <v>349</v>
      </c>
      <c r="B119" s="6" t="s">
        <v>350</v>
      </c>
      <c r="C119" s="6" t="s">
        <v>350</v>
      </c>
      <c r="D119" s="7" t="s">
        <v>24</v>
      </c>
      <c r="E119" s="7" t="s">
        <v>75</v>
      </c>
      <c r="F119" s="7" t="s">
        <v>25</v>
      </c>
      <c r="G119" s="7" t="s">
        <v>82</v>
      </c>
      <c r="H119" s="7" t="s">
        <v>45</v>
      </c>
      <c r="I119" s="7" t="s">
        <v>46</v>
      </c>
      <c r="J119" s="7">
        <v>17</v>
      </c>
      <c r="K119" s="24">
        <v>511.26</v>
      </c>
      <c r="L119" s="8">
        <v>0</v>
      </c>
      <c r="M119" s="20">
        <v>328.85</v>
      </c>
      <c r="N119" s="21">
        <f>(Table1[[#This Row],[Quantity]]*Table1[[#This Row],[Unit Price]])*(1-Table1[[#This Row],[Discount]])</f>
        <v>8691.42</v>
      </c>
      <c r="O119" s="21">
        <f>(Table1[[#This Row],[Unit Price]]-Table1[[#This Row],[Unit Cost]])*Table1[[#This Row],[Quantity]]</f>
        <v>3100.9699999999993</v>
      </c>
      <c r="P119" s="9" t="str">
        <f t="shared" si="1"/>
        <v>Bulk</v>
      </c>
      <c r="Q119" s="9" t="str">
        <f>IF(Table1[[#This Row],[Discount]]&gt;=15%,"HIGH",IF(Table1[[#This Row],[Discount]]&gt;=55,"MEDIUM","NONE"))</f>
        <v>NONE</v>
      </c>
      <c r="R119" s="9">
        <f>Table1[[#This Row],[Ship Date]]-Table1[[#This Row],[Order Date]]</f>
        <v>0</v>
      </c>
      <c r="S119" s="9">
        <f>VLOOKUP(Table1[[#This Row],[Region]],Table2[],2,FALSE)</f>
        <v>130000</v>
      </c>
      <c r="T119" s="9">
        <f>INDEX(Table2[Quarterly Target],MATCH(Table1[[#This Row],[Region]],Table2[[Region ]],0))</f>
        <v>130000</v>
      </c>
      <c r="U119" s="9">
        <f>RANK(Table1[[#This Row],[Sales]],Table1[Sales])</f>
        <v>53</v>
      </c>
      <c r="V119" s="21">
        <f>SUM(N$2:N120)</f>
        <v>400823.054</v>
      </c>
    </row>
    <row r="120" spans="1:22" x14ac:dyDescent="0.25">
      <c r="A120" s="5" t="s">
        <v>351</v>
      </c>
      <c r="B120" s="6" t="s">
        <v>352</v>
      </c>
      <c r="C120" s="6" t="s">
        <v>353</v>
      </c>
      <c r="D120" s="7" t="s">
        <v>30</v>
      </c>
      <c r="E120" s="7" t="s">
        <v>117</v>
      </c>
      <c r="F120" s="7" t="s">
        <v>43</v>
      </c>
      <c r="G120" s="7" t="s">
        <v>67</v>
      </c>
      <c r="H120" s="7" t="s">
        <v>33</v>
      </c>
      <c r="I120" s="7" t="s">
        <v>153</v>
      </c>
      <c r="J120" s="7">
        <v>4</v>
      </c>
      <c r="K120" s="24">
        <v>23.2</v>
      </c>
      <c r="L120" s="8">
        <v>0.05</v>
      </c>
      <c r="M120" s="20">
        <v>14.41</v>
      </c>
      <c r="N120" s="21">
        <f>(Table1[[#This Row],[Quantity]]*Table1[[#This Row],[Unit Price]])*(1-Table1[[#This Row],[Discount]])</f>
        <v>88.16</v>
      </c>
      <c r="O120" s="21">
        <f>(Table1[[#This Row],[Unit Price]]-Table1[[#This Row],[Unit Cost]])*Table1[[#This Row],[Quantity]]</f>
        <v>35.159999999999997</v>
      </c>
      <c r="P120" s="9" t="str">
        <f t="shared" si="1"/>
        <v>Bulk</v>
      </c>
      <c r="Q120" s="9" t="str">
        <f>IF(Table1[[#This Row],[Discount]]&gt;=15%,"HIGH",IF(Table1[[#This Row],[Discount]]&gt;=55,"MEDIUM","NONE"))</f>
        <v>NONE</v>
      </c>
      <c r="R120" s="9">
        <f>Table1[[#This Row],[Ship Date]]-Table1[[#This Row],[Order Date]]</f>
        <v>3</v>
      </c>
      <c r="S120" s="9">
        <f>VLOOKUP(Table1[[#This Row],[Region]],Table2[],2,FALSE)</f>
        <v>150000</v>
      </c>
      <c r="T120" s="9">
        <f>INDEX(Table2[Quarterly Target],MATCH(Table1[[#This Row],[Region]],Table2[[Region ]],0))</f>
        <v>150000</v>
      </c>
      <c r="U120" s="9">
        <f>RANK(Table1[[#This Row],[Sales]],Table1[Sales])</f>
        <v>367</v>
      </c>
      <c r="V120" s="21">
        <f>SUM(N$2:N121)</f>
        <v>418167.81400000001</v>
      </c>
    </row>
    <row r="121" spans="1:22" x14ac:dyDescent="0.25">
      <c r="A121" s="5" t="s">
        <v>354</v>
      </c>
      <c r="B121" s="6" t="s">
        <v>355</v>
      </c>
      <c r="C121" s="6" t="s">
        <v>355</v>
      </c>
      <c r="D121" s="7" t="s">
        <v>24</v>
      </c>
      <c r="E121" s="7" t="s">
        <v>55</v>
      </c>
      <c r="F121" s="7" t="s">
        <v>18</v>
      </c>
      <c r="G121" s="7" t="s">
        <v>50</v>
      </c>
      <c r="H121" s="7" t="s">
        <v>45</v>
      </c>
      <c r="I121" s="7" t="s">
        <v>148</v>
      </c>
      <c r="J121" s="7">
        <v>23</v>
      </c>
      <c r="K121" s="24">
        <v>754.12</v>
      </c>
      <c r="L121" s="8">
        <v>0</v>
      </c>
      <c r="M121" s="20">
        <v>520.14</v>
      </c>
      <c r="N121" s="21">
        <f>(Table1[[#This Row],[Quantity]]*Table1[[#This Row],[Unit Price]])*(1-Table1[[#This Row],[Discount]])</f>
        <v>17344.759999999998</v>
      </c>
      <c r="O121" s="21">
        <f>(Table1[[#This Row],[Unit Price]]-Table1[[#This Row],[Unit Cost]])*Table1[[#This Row],[Quantity]]</f>
        <v>5381.5400000000009</v>
      </c>
      <c r="P121" s="9" t="str">
        <f t="shared" si="1"/>
        <v>Standard</v>
      </c>
      <c r="Q121" s="9" t="str">
        <f>IF(Table1[[#This Row],[Discount]]&gt;=15%,"HIGH",IF(Table1[[#This Row],[Discount]]&gt;=55,"MEDIUM","NONE"))</f>
        <v>NONE</v>
      </c>
      <c r="R121" s="9">
        <f>Table1[[#This Row],[Ship Date]]-Table1[[#This Row],[Order Date]]</f>
        <v>0</v>
      </c>
      <c r="S121" s="9">
        <f>VLOOKUP(Table1[[#This Row],[Region]],Table2[],2,FALSE)</f>
        <v>140000</v>
      </c>
      <c r="T121" s="9">
        <f>INDEX(Table2[Quarterly Target],MATCH(Table1[[#This Row],[Region]],Table2[[Region ]],0))</f>
        <v>140000</v>
      </c>
      <c r="U121" s="9">
        <f>RANK(Table1[[#This Row],[Sales]],Table1[Sales])</f>
        <v>6</v>
      </c>
      <c r="V121" s="21">
        <f>SUM(N$2:N122)</f>
        <v>423030.21400000004</v>
      </c>
    </row>
    <row r="122" spans="1:22" x14ac:dyDescent="0.25">
      <c r="A122" s="5" t="s">
        <v>356</v>
      </c>
      <c r="B122" s="6" t="s">
        <v>292</v>
      </c>
      <c r="C122" s="6" t="s">
        <v>357</v>
      </c>
      <c r="D122" s="7" t="s">
        <v>16</v>
      </c>
      <c r="E122" s="7" t="s">
        <v>71</v>
      </c>
      <c r="F122" s="7" t="s">
        <v>60</v>
      </c>
      <c r="G122" s="7" t="s">
        <v>32</v>
      </c>
      <c r="H122" s="7" t="s">
        <v>20</v>
      </c>
      <c r="I122" s="7" t="s">
        <v>151</v>
      </c>
      <c r="J122" s="7">
        <v>12</v>
      </c>
      <c r="K122" s="24">
        <v>405.2</v>
      </c>
      <c r="L122" s="8">
        <v>0</v>
      </c>
      <c r="M122" s="20">
        <v>257.48</v>
      </c>
      <c r="N122" s="21">
        <f>(Table1[[#This Row],[Quantity]]*Table1[[#This Row],[Unit Price]])*(1-Table1[[#This Row],[Discount]])</f>
        <v>4862.3999999999996</v>
      </c>
      <c r="O122" s="21">
        <f>(Table1[[#This Row],[Unit Price]]-Table1[[#This Row],[Unit Cost]])*Table1[[#This Row],[Quantity]]</f>
        <v>1772.6399999999996</v>
      </c>
      <c r="P122" s="9" t="str">
        <f t="shared" si="1"/>
        <v>Bulk</v>
      </c>
      <c r="Q122" s="9" t="str">
        <f>IF(Table1[[#This Row],[Discount]]&gt;=15%,"HIGH",IF(Table1[[#This Row],[Discount]]&gt;=55,"MEDIUM","NONE"))</f>
        <v>NONE</v>
      </c>
      <c r="R122" s="9">
        <f>Table1[[#This Row],[Ship Date]]-Table1[[#This Row],[Order Date]]</f>
        <v>7</v>
      </c>
      <c r="S122" s="9">
        <f>VLOOKUP(Table1[[#This Row],[Region]],Table2[],2,FALSE)</f>
        <v>160000</v>
      </c>
      <c r="T122" s="9">
        <f>INDEX(Table2[Quarterly Target],MATCH(Table1[[#This Row],[Region]],Table2[[Region ]],0))</f>
        <v>160000</v>
      </c>
      <c r="U122" s="9">
        <f>RANK(Table1[[#This Row],[Sales]],Table1[Sales])</f>
        <v>94</v>
      </c>
      <c r="V122" s="21">
        <f>SUM(N$2:N123)</f>
        <v>432793.10150000005</v>
      </c>
    </row>
    <row r="123" spans="1:22" x14ac:dyDescent="0.25">
      <c r="A123" s="5" t="s">
        <v>358</v>
      </c>
      <c r="B123" s="6" t="s">
        <v>359</v>
      </c>
      <c r="C123" s="6" t="s">
        <v>359</v>
      </c>
      <c r="D123" s="7" t="s">
        <v>24</v>
      </c>
      <c r="E123" s="7" t="s">
        <v>214</v>
      </c>
      <c r="F123" s="7" t="s">
        <v>43</v>
      </c>
      <c r="G123" s="7" t="s">
        <v>67</v>
      </c>
      <c r="H123" s="7" t="s">
        <v>45</v>
      </c>
      <c r="I123" s="7" t="s">
        <v>68</v>
      </c>
      <c r="J123" s="7">
        <v>25</v>
      </c>
      <c r="K123" s="24">
        <v>459.43</v>
      </c>
      <c r="L123" s="8">
        <v>0.15</v>
      </c>
      <c r="M123" s="20">
        <v>354.18</v>
      </c>
      <c r="N123" s="21">
        <f>(Table1[[#This Row],[Quantity]]*Table1[[#This Row],[Unit Price]])*(1-Table1[[#This Row],[Discount]])</f>
        <v>9762.8874999999989</v>
      </c>
      <c r="O123" s="21">
        <f>(Table1[[#This Row],[Unit Price]]-Table1[[#This Row],[Unit Cost]])*Table1[[#This Row],[Quantity]]</f>
        <v>2631.25</v>
      </c>
      <c r="P123" s="9" t="str">
        <f t="shared" si="1"/>
        <v>Bulk</v>
      </c>
      <c r="Q123" s="9" t="str">
        <f>IF(Table1[[#This Row],[Discount]]&gt;=15%,"HIGH",IF(Table1[[#This Row],[Discount]]&gt;=55,"MEDIUM","NONE"))</f>
        <v>HIGH</v>
      </c>
      <c r="R123" s="9">
        <f>Table1[[#This Row],[Ship Date]]-Table1[[#This Row],[Order Date]]</f>
        <v>0</v>
      </c>
      <c r="S123" s="9">
        <f>VLOOKUP(Table1[[#This Row],[Region]],Table2[],2,FALSE)</f>
        <v>150000</v>
      </c>
      <c r="T123" s="9">
        <f>INDEX(Table2[Quarterly Target],MATCH(Table1[[#This Row],[Region]],Table2[[Region ]],0))</f>
        <v>150000</v>
      </c>
      <c r="U123" s="9">
        <f>RANK(Table1[[#This Row],[Sales]],Table1[Sales])</f>
        <v>46</v>
      </c>
      <c r="V123" s="21">
        <f>SUM(N$2:N124)</f>
        <v>444396.32550000004</v>
      </c>
    </row>
    <row r="124" spans="1:22" x14ac:dyDescent="0.25">
      <c r="A124" s="5" t="s">
        <v>360</v>
      </c>
      <c r="B124" s="6" t="s">
        <v>264</v>
      </c>
      <c r="C124" s="6" t="s">
        <v>361</v>
      </c>
      <c r="D124" s="7" t="s">
        <v>16</v>
      </c>
      <c r="E124" s="7" t="s">
        <v>59</v>
      </c>
      <c r="F124" s="7" t="s">
        <v>60</v>
      </c>
      <c r="G124" s="7" t="s">
        <v>50</v>
      </c>
      <c r="H124" s="7" t="s">
        <v>45</v>
      </c>
      <c r="I124" s="7" t="s">
        <v>83</v>
      </c>
      <c r="J124" s="7">
        <v>23</v>
      </c>
      <c r="K124" s="24">
        <v>630.61</v>
      </c>
      <c r="L124" s="8">
        <v>0.2</v>
      </c>
      <c r="M124" s="20">
        <v>489.14</v>
      </c>
      <c r="N124" s="21">
        <f>(Table1[[#This Row],[Quantity]]*Table1[[#This Row],[Unit Price]])*(1-Table1[[#This Row],[Discount]])</f>
        <v>11603.224000000002</v>
      </c>
      <c r="O124" s="21">
        <f>(Table1[[#This Row],[Unit Price]]-Table1[[#This Row],[Unit Cost]])*Table1[[#This Row],[Quantity]]</f>
        <v>3253.8100000000004</v>
      </c>
      <c r="P124" s="9" t="str">
        <f t="shared" si="1"/>
        <v>Bulk</v>
      </c>
      <c r="Q124" s="9" t="str">
        <f>IF(Table1[[#This Row],[Discount]]&gt;=15%,"HIGH",IF(Table1[[#This Row],[Discount]]&gt;=55,"MEDIUM","NONE"))</f>
        <v>HIGH</v>
      </c>
      <c r="R124" s="9">
        <f>Table1[[#This Row],[Ship Date]]-Table1[[#This Row],[Order Date]]</f>
        <v>7</v>
      </c>
      <c r="S124" s="9">
        <f>VLOOKUP(Table1[[#This Row],[Region]],Table2[],2,FALSE)</f>
        <v>160000</v>
      </c>
      <c r="T124" s="9">
        <f>INDEX(Table2[Quarterly Target],MATCH(Table1[[#This Row],[Region]],Table2[[Region ]],0))</f>
        <v>160000</v>
      </c>
      <c r="U124" s="9">
        <f>RANK(Table1[[#This Row],[Sales]],Table1[Sales])</f>
        <v>34</v>
      </c>
      <c r="V124" s="21">
        <f>SUM(N$2:N125)</f>
        <v>444559.67550000001</v>
      </c>
    </row>
    <row r="125" spans="1:22" x14ac:dyDescent="0.25">
      <c r="A125" s="5" t="s">
        <v>362</v>
      </c>
      <c r="B125" s="6" t="s">
        <v>259</v>
      </c>
      <c r="C125" s="6" t="s">
        <v>259</v>
      </c>
      <c r="D125" s="7" t="s">
        <v>24</v>
      </c>
      <c r="E125" s="7" t="s">
        <v>112</v>
      </c>
      <c r="F125" s="7" t="s">
        <v>60</v>
      </c>
      <c r="G125" s="7" t="s">
        <v>44</v>
      </c>
      <c r="H125" s="7" t="s">
        <v>33</v>
      </c>
      <c r="I125" s="7" t="s">
        <v>51</v>
      </c>
      <c r="J125" s="7">
        <v>15</v>
      </c>
      <c r="K125" s="24">
        <v>10.89</v>
      </c>
      <c r="L125" s="8">
        <v>0</v>
      </c>
      <c r="M125" s="20">
        <v>6.83</v>
      </c>
      <c r="N125" s="21">
        <f>(Table1[[#This Row],[Quantity]]*Table1[[#This Row],[Unit Price]])*(1-Table1[[#This Row],[Discount]])</f>
        <v>163.35000000000002</v>
      </c>
      <c r="O125" s="21">
        <f>(Table1[[#This Row],[Unit Price]]-Table1[[#This Row],[Unit Cost]])*Table1[[#This Row],[Quantity]]</f>
        <v>60.900000000000006</v>
      </c>
      <c r="P125" s="9" t="str">
        <f t="shared" si="1"/>
        <v>Bulk</v>
      </c>
      <c r="Q125" s="9" t="str">
        <f>IF(Table1[[#This Row],[Discount]]&gt;=15%,"HIGH",IF(Table1[[#This Row],[Discount]]&gt;=55,"MEDIUM","NONE"))</f>
        <v>NONE</v>
      </c>
      <c r="R125" s="9">
        <f>Table1[[#This Row],[Ship Date]]-Table1[[#This Row],[Order Date]]</f>
        <v>0</v>
      </c>
      <c r="S125" s="9">
        <f>VLOOKUP(Table1[[#This Row],[Region]],Table2[],2,FALSE)</f>
        <v>160000</v>
      </c>
      <c r="T125" s="9">
        <f>INDEX(Table2[Quarterly Target],MATCH(Table1[[#This Row],[Region]],Table2[[Region ]],0))</f>
        <v>160000</v>
      </c>
      <c r="U125" s="9">
        <f>RANK(Table1[[#This Row],[Sales]],Table1[Sales])</f>
        <v>328</v>
      </c>
      <c r="V125" s="21">
        <f>SUM(N$2:N126)</f>
        <v>445078.37550000002</v>
      </c>
    </row>
    <row r="126" spans="1:22" x14ac:dyDescent="0.25">
      <c r="A126" s="5" t="s">
        <v>363</v>
      </c>
      <c r="B126" s="6" t="s">
        <v>364</v>
      </c>
      <c r="C126" s="6" t="s">
        <v>189</v>
      </c>
      <c r="D126" s="7" t="s">
        <v>16</v>
      </c>
      <c r="E126" s="7" t="s">
        <v>55</v>
      </c>
      <c r="F126" s="7" t="s">
        <v>18</v>
      </c>
      <c r="G126" s="7" t="s">
        <v>97</v>
      </c>
      <c r="H126" s="7" t="s">
        <v>61</v>
      </c>
      <c r="I126" s="7" t="s">
        <v>62</v>
      </c>
      <c r="J126" s="7">
        <v>7</v>
      </c>
      <c r="K126" s="24">
        <v>74.099999999999994</v>
      </c>
      <c r="L126" s="8">
        <v>0</v>
      </c>
      <c r="M126" s="20">
        <v>56.93</v>
      </c>
      <c r="N126" s="21">
        <f>(Table1[[#This Row],[Quantity]]*Table1[[#This Row],[Unit Price]])*(1-Table1[[#This Row],[Discount]])</f>
        <v>518.69999999999993</v>
      </c>
      <c r="O126" s="21">
        <f>(Table1[[#This Row],[Unit Price]]-Table1[[#This Row],[Unit Cost]])*Table1[[#This Row],[Quantity]]</f>
        <v>120.18999999999997</v>
      </c>
      <c r="P126" s="9" t="str">
        <f t="shared" si="1"/>
        <v>Bulk</v>
      </c>
      <c r="Q126" s="9" t="str">
        <f>IF(Table1[[#This Row],[Discount]]&gt;=15%,"HIGH",IF(Table1[[#This Row],[Discount]]&gt;=55,"MEDIUM","NONE"))</f>
        <v>NONE</v>
      </c>
      <c r="R126" s="9">
        <f>Table1[[#This Row],[Ship Date]]-Table1[[#This Row],[Order Date]]</f>
        <v>4</v>
      </c>
      <c r="S126" s="9">
        <f>VLOOKUP(Table1[[#This Row],[Region]],Table2[],2,FALSE)</f>
        <v>140000</v>
      </c>
      <c r="T126" s="9">
        <f>INDEX(Table2[Quarterly Target],MATCH(Table1[[#This Row],[Region]],Table2[[Region ]],0))</f>
        <v>140000</v>
      </c>
      <c r="U126" s="9">
        <f>RANK(Table1[[#This Row],[Sales]],Table1[Sales])</f>
        <v>222</v>
      </c>
      <c r="V126" s="21">
        <f>SUM(N$2:N127)</f>
        <v>450644.42550000001</v>
      </c>
    </row>
    <row r="127" spans="1:22" x14ac:dyDescent="0.25">
      <c r="A127" s="5" t="s">
        <v>365</v>
      </c>
      <c r="B127" s="6" t="s">
        <v>189</v>
      </c>
      <c r="C127" s="6" t="s">
        <v>366</v>
      </c>
      <c r="D127" s="7" t="s">
        <v>16</v>
      </c>
      <c r="E127" s="7" t="s">
        <v>96</v>
      </c>
      <c r="F127" s="7" t="s">
        <v>38</v>
      </c>
      <c r="G127" s="7" t="s">
        <v>44</v>
      </c>
      <c r="H127" s="7" t="s">
        <v>20</v>
      </c>
      <c r="I127" s="7" t="s">
        <v>151</v>
      </c>
      <c r="J127" s="7">
        <v>25</v>
      </c>
      <c r="K127" s="24">
        <v>234.36</v>
      </c>
      <c r="L127" s="8">
        <v>0.05</v>
      </c>
      <c r="M127" s="20">
        <v>181.94</v>
      </c>
      <c r="N127" s="21">
        <f>(Table1[[#This Row],[Quantity]]*Table1[[#This Row],[Unit Price]])*(1-Table1[[#This Row],[Discount]])</f>
        <v>5566.05</v>
      </c>
      <c r="O127" s="21">
        <f>(Table1[[#This Row],[Unit Price]]-Table1[[#This Row],[Unit Cost]])*Table1[[#This Row],[Quantity]]</f>
        <v>1310.5000000000005</v>
      </c>
      <c r="P127" s="9" t="str">
        <f t="shared" si="1"/>
        <v>Standard</v>
      </c>
      <c r="Q127" s="9" t="str">
        <f>IF(Table1[[#This Row],[Discount]]&gt;=15%,"HIGH",IF(Table1[[#This Row],[Discount]]&gt;=55,"MEDIUM","NONE"))</f>
        <v>NONE</v>
      </c>
      <c r="R127" s="9">
        <f>Table1[[#This Row],[Ship Date]]-Table1[[#This Row],[Order Date]]</f>
        <v>5</v>
      </c>
      <c r="S127" s="9">
        <f>VLOOKUP(Table1[[#This Row],[Region]],Table2[],2,FALSE)</f>
        <v>120000</v>
      </c>
      <c r="T127" s="9">
        <f>INDEX(Table2[Quarterly Target],MATCH(Table1[[#This Row],[Region]],Table2[[Region ]],0))</f>
        <v>120000</v>
      </c>
      <c r="U127" s="9">
        <f>RANK(Table1[[#This Row],[Sales]],Table1[Sales])</f>
        <v>87</v>
      </c>
      <c r="V127" s="21">
        <f>SUM(N$2:N128)</f>
        <v>456253.79550000001</v>
      </c>
    </row>
    <row r="128" spans="1:22" x14ac:dyDescent="0.25">
      <c r="A128" s="5" t="s">
        <v>367</v>
      </c>
      <c r="B128" s="6" t="s">
        <v>234</v>
      </c>
      <c r="C128" s="6" t="s">
        <v>368</v>
      </c>
      <c r="D128" s="7" t="s">
        <v>16</v>
      </c>
      <c r="E128" s="7" t="s">
        <v>91</v>
      </c>
      <c r="F128" s="7" t="s">
        <v>18</v>
      </c>
      <c r="G128" s="7" t="s">
        <v>97</v>
      </c>
      <c r="H128" s="7" t="s">
        <v>45</v>
      </c>
      <c r="I128" s="7" t="s">
        <v>143</v>
      </c>
      <c r="J128" s="7">
        <v>13</v>
      </c>
      <c r="K128" s="24">
        <v>431.49</v>
      </c>
      <c r="L128" s="8">
        <v>0</v>
      </c>
      <c r="M128" s="20">
        <v>278.98</v>
      </c>
      <c r="N128" s="21">
        <f>(Table1[[#This Row],[Quantity]]*Table1[[#This Row],[Unit Price]])*(1-Table1[[#This Row],[Discount]])</f>
        <v>5609.37</v>
      </c>
      <c r="O128" s="21">
        <f>(Table1[[#This Row],[Unit Price]]-Table1[[#This Row],[Unit Cost]])*Table1[[#This Row],[Quantity]]</f>
        <v>1982.6299999999999</v>
      </c>
      <c r="P128" s="9" t="str">
        <f t="shared" si="1"/>
        <v>Bulk</v>
      </c>
      <c r="Q128" s="9" t="str">
        <f>IF(Table1[[#This Row],[Discount]]&gt;=15%,"HIGH",IF(Table1[[#This Row],[Discount]]&gt;=55,"MEDIUM","NONE"))</f>
        <v>NONE</v>
      </c>
      <c r="R128" s="9">
        <f>Table1[[#This Row],[Ship Date]]-Table1[[#This Row],[Order Date]]</f>
        <v>4</v>
      </c>
      <c r="S128" s="9">
        <f>VLOOKUP(Table1[[#This Row],[Region]],Table2[],2,FALSE)</f>
        <v>140000</v>
      </c>
      <c r="T128" s="9">
        <f>INDEX(Table2[Quarterly Target],MATCH(Table1[[#This Row],[Region]],Table2[[Region ]],0))</f>
        <v>140000</v>
      </c>
      <c r="U128" s="9">
        <f>RANK(Table1[[#This Row],[Sales]],Table1[Sales])</f>
        <v>86</v>
      </c>
      <c r="V128" s="21">
        <f>SUM(N$2:N129)</f>
        <v>456861.65150000004</v>
      </c>
    </row>
    <row r="129" spans="1:22" x14ac:dyDescent="0.25">
      <c r="A129" s="5" t="s">
        <v>369</v>
      </c>
      <c r="B129" s="6" t="s">
        <v>370</v>
      </c>
      <c r="C129" s="6" t="s">
        <v>371</v>
      </c>
      <c r="D129" s="7" t="s">
        <v>16</v>
      </c>
      <c r="E129" s="7" t="s">
        <v>117</v>
      </c>
      <c r="F129" s="7" t="s">
        <v>43</v>
      </c>
      <c r="G129" s="7" t="s">
        <v>50</v>
      </c>
      <c r="H129" s="7" t="s">
        <v>20</v>
      </c>
      <c r="I129" s="7" t="s">
        <v>134</v>
      </c>
      <c r="J129" s="7">
        <v>2</v>
      </c>
      <c r="K129" s="24">
        <v>379.91</v>
      </c>
      <c r="L129" s="8">
        <v>0.2</v>
      </c>
      <c r="M129" s="20">
        <v>253.82</v>
      </c>
      <c r="N129" s="21">
        <f>(Table1[[#This Row],[Quantity]]*Table1[[#This Row],[Unit Price]])*(1-Table1[[#This Row],[Discount]])</f>
        <v>607.85600000000011</v>
      </c>
      <c r="O129" s="21">
        <f>(Table1[[#This Row],[Unit Price]]-Table1[[#This Row],[Unit Cost]])*Table1[[#This Row],[Quantity]]</f>
        <v>252.18000000000006</v>
      </c>
      <c r="P129" s="9" t="str">
        <f t="shared" si="1"/>
        <v>Bulk</v>
      </c>
      <c r="Q129" s="9" t="str">
        <f>IF(Table1[[#This Row],[Discount]]&gt;=15%,"HIGH",IF(Table1[[#This Row],[Discount]]&gt;=55,"MEDIUM","NONE"))</f>
        <v>HIGH</v>
      </c>
      <c r="R129" s="9">
        <f>Table1[[#This Row],[Ship Date]]-Table1[[#This Row],[Order Date]]</f>
        <v>5</v>
      </c>
      <c r="S129" s="9">
        <f>VLOOKUP(Table1[[#This Row],[Region]],Table2[],2,FALSE)</f>
        <v>150000</v>
      </c>
      <c r="T129" s="9">
        <f>INDEX(Table2[Quarterly Target],MATCH(Table1[[#This Row],[Region]],Table2[[Region ]],0))</f>
        <v>150000</v>
      </c>
      <c r="U129" s="9">
        <f>RANK(Table1[[#This Row],[Sales]],Table1[Sales])</f>
        <v>212</v>
      </c>
      <c r="V129" s="21">
        <f>SUM(N$2:N130)</f>
        <v>475188.06350000005</v>
      </c>
    </row>
    <row r="130" spans="1:22" x14ac:dyDescent="0.25">
      <c r="A130" s="5" t="s">
        <v>372</v>
      </c>
      <c r="B130" s="6" t="s">
        <v>257</v>
      </c>
      <c r="C130" s="6" t="s">
        <v>373</v>
      </c>
      <c r="D130" s="7" t="s">
        <v>16</v>
      </c>
      <c r="E130" s="7" t="s">
        <v>37</v>
      </c>
      <c r="F130" s="7" t="s">
        <v>43</v>
      </c>
      <c r="G130" s="7" t="s">
        <v>19</v>
      </c>
      <c r="H130" s="7" t="s">
        <v>20</v>
      </c>
      <c r="I130" s="7" t="s">
        <v>21</v>
      </c>
      <c r="J130" s="7">
        <v>18</v>
      </c>
      <c r="K130" s="24">
        <v>1131.26</v>
      </c>
      <c r="L130" s="8">
        <v>0.1</v>
      </c>
      <c r="M130" s="20">
        <v>771.45</v>
      </c>
      <c r="N130" s="21">
        <f>(Table1[[#This Row],[Quantity]]*Table1[[#This Row],[Unit Price]])*(1-Table1[[#This Row],[Discount]])</f>
        <v>18326.412</v>
      </c>
      <c r="O130" s="21">
        <f>(Table1[[#This Row],[Unit Price]]-Table1[[#This Row],[Unit Cost]])*Table1[[#This Row],[Quantity]]</f>
        <v>6476.579999999999</v>
      </c>
      <c r="P130" s="9" t="str">
        <f t="shared" ref="P130:P193" si="2">IF(J129&gt;10,"Bulk","Standard")</f>
        <v>Standard</v>
      </c>
      <c r="Q130" s="9" t="str">
        <f>IF(Table1[[#This Row],[Discount]]&gt;=15%,"HIGH",IF(Table1[[#This Row],[Discount]]&gt;=55,"MEDIUM","NONE"))</f>
        <v>NONE</v>
      </c>
      <c r="R130" s="9">
        <f>Table1[[#This Row],[Ship Date]]-Table1[[#This Row],[Order Date]]</f>
        <v>4</v>
      </c>
      <c r="S130" s="9">
        <f>VLOOKUP(Table1[[#This Row],[Region]],Table2[],2,FALSE)</f>
        <v>150000</v>
      </c>
      <c r="T130" s="9">
        <f>INDEX(Table2[Quarterly Target],MATCH(Table1[[#This Row],[Region]],Table2[[Region ]],0))</f>
        <v>150000</v>
      </c>
      <c r="U130" s="9">
        <f>RANK(Table1[[#This Row],[Sales]],Table1[Sales])</f>
        <v>5</v>
      </c>
      <c r="V130" s="21">
        <f>SUM(N$2:N131)</f>
        <v>475575.46350000007</v>
      </c>
    </row>
    <row r="131" spans="1:22" x14ac:dyDescent="0.25">
      <c r="A131" s="5" t="s">
        <v>374</v>
      </c>
      <c r="B131" s="6" t="s">
        <v>375</v>
      </c>
      <c r="C131" s="6" t="s">
        <v>375</v>
      </c>
      <c r="D131" s="7" t="s">
        <v>24</v>
      </c>
      <c r="E131" s="7" t="s">
        <v>17</v>
      </c>
      <c r="F131" s="7" t="s">
        <v>43</v>
      </c>
      <c r="G131" s="7" t="s">
        <v>97</v>
      </c>
      <c r="H131" s="7" t="s">
        <v>33</v>
      </c>
      <c r="I131" s="7" t="s">
        <v>34</v>
      </c>
      <c r="J131" s="7">
        <v>20</v>
      </c>
      <c r="K131" s="24">
        <v>19.37</v>
      </c>
      <c r="L131" s="8">
        <v>0</v>
      </c>
      <c r="M131" s="20">
        <v>14.71</v>
      </c>
      <c r="N131" s="21">
        <f>(Table1[[#This Row],[Quantity]]*Table1[[#This Row],[Unit Price]])*(1-Table1[[#This Row],[Discount]])</f>
        <v>387.40000000000003</v>
      </c>
      <c r="O131" s="21">
        <f>(Table1[[#This Row],[Unit Price]]-Table1[[#This Row],[Unit Cost]])*Table1[[#This Row],[Quantity]]</f>
        <v>93.2</v>
      </c>
      <c r="P131" s="9" t="str">
        <f t="shared" si="2"/>
        <v>Bulk</v>
      </c>
      <c r="Q131" s="9" t="str">
        <f>IF(Table1[[#This Row],[Discount]]&gt;=15%,"HIGH",IF(Table1[[#This Row],[Discount]]&gt;=55,"MEDIUM","NONE"))</f>
        <v>NONE</v>
      </c>
      <c r="R131" s="9">
        <f>Table1[[#This Row],[Ship Date]]-Table1[[#This Row],[Order Date]]</f>
        <v>0</v>
      </c>
      <c r="S131" s="9">
        <f>VLOOKUP(Table1[[#This Row],[Region]],Table2[],2,FALSE)</f>
        <v>150000</v>
      </c>
      <c r="T131" s="9">
        <f>INDEX(Table2[Quarterly Target],MATCH(Table1[[#This Row],[Region]],Table2[[Region ]],0))</f>
        <v>150000</v>
      </c>
      <c r="U131" s="9">
        <f>RANK(Table1[[#This Row],[Sales]],Table1[Sales])</f>
        <v>249</v>
      </c>
      <c r="V131" s="21">
        <f>SUM(N$2:N132)</f>
        <v>478288.89150000009</v>
      </c>
    </row>
    <row r="132" spans="1:22" x14ac:dyDescent="0.25">
      <c r="A132" s="5" t="s">
        <v>376</v>
      </c>
      <c r="B132" s="6" t="s">
        <v>377</v>
      </c>
      <c r="C132" s="6" t="s">
        <v>377</v>
      </c>
      <c r="D132" s="7" t="s">
        <v>24</v>
      </c>
      <c r="E132" s="7" t="s">
        <v>31</v>
      </c>
      <c r="F132" s="7" t="s">
        <v>18</v>
      </c>
      <c r="G132" s="7" t="s">
        <v>26</v>
      </c>
      <c r="H132" s="7" t="s">
        <v>45</v>
      </c>
      <c r="I132" s="7" t="s">
        <v>68</v>
      </c>
      <c r="J132" s="7">
        <v>12</v>
      </c>
      <c r="K132" s="24">
        <v>238.02</v>
      </c>
      <c r="L132" s="8">
        <v>0.05</v>
      </c>
      <c r="M132" s="20">
        <v>142.06</v>
      </c>
      <c r="N132" s="21">
        <f>(Table1[[#This Row],[Quantity]]*Table1[[#This Row],[Unit Price]])*(1-Table1[[#This Row],[Discount]])</f>
        <v>2713.4279999999999</v>
      </c>
      <c r="O132" s="21">
        <f>(Table1[[#This Row],[Unit Price]]-Table1[[#This Row],[Unit Cost]])*Table1[[#This Row],[Quantity]]</f>
        <v>1151.52</v>
      </c>
      <c r="P132" s="9" t="str">
        <f t="shared" si="2"/>
        <v>Bulk</v>
      </c>
      <c r="Q132" s="9" t="str">
        <f>IF(Table1[[#This Row],[Discount]]&gt;=15%,"HIGH",IF(Table1[[#This Row],[Discount]]&gt;=55,"MEDIUM","NONE"))</f>
        <v>NONE</v>
      </c>
      <c r="R132" s="9">
        <f>Table1[[#This Row],[Ship Date]]-Table1[[#This Row],[Order Date]]</f>
        <v>0</v>
      </c>
      <c r="S132" s="9">
        <f>VLOOKUP(Table1[[#This Row],[Region]],Table2[],2,FALSE)</f>
        <v>140000</v>
      </c>
      <c r="T132" s="9">
        <f>INDEX(Table2[Quarterly Target],MATCH(Table1[[#This Row],[Region]],Table2[[Region ]],0))</f>
        <v>140000</v>
      </c>
      <c r="U132" s="9">
        <f>RANK(Table1[[#This Row],[Sales]],Table1[Sales])</f>
        <v>127</v>
      </c>
      <c r="V132" s="21">
        <f>SUM(N$2:N133)</f>
        <v>486473.58150000009</v>
      </c>
    </row>
    <row r="133" spans="1:22" x14ac:dyDescent="0.25">
      <c r="A133" s="5" t="s">
        <v>378</v>
      </c>
      <c r="B133" s="6" t="s">
        <v>379</v>
      </c>
      <c r="C133" s="6" t="s">
        <v>380</v>
      </c>
      <c r="D133" s="7" t="s">
        <v>30</v>
      </c>
      <c r="E133" s="7" t="s">
        <v>133</v>
      </c>
      <c r="F133" s="7" t="s">
        <v>60</v>
      </c>
      <c r="G133" s="7" t="s">
        <v>97</v>
      </c>
      <c r="H133" s="7" t="s">
        <v>20</v>
      </c>
      <c r="I133" s="7" t="s">
        <v>139</v>
      </c>
      <c r="J133" s="7">
        <v>9</v>
      </c>
      <c r="K133" s="24">
        <v>909.41</v>
      </c>
      <c r="L133" s="8">
        <v>0</v>
      </c>
      <c r="M133" s="20">
        <v>679.45</v>
      </c>
      <c r="N133" s="21">
        <f>(Table1[[#This Row],[Quantity]]*Table1[[#This Row],[Unit Price]])*(1-Table1[[#This Row],[Discount]])</f>
        <v>8184.69</v>
      </c>
      <c r="O133" s="21">
        <f>(Table1[[#This Row],[Unit Price]]-Table1[[#This Row],[Unit Cost]])*Table1[[#This Row],[Quantity]]</f>
        <v>2069.6399999999994</v>
      </c>
      <c r="P133" s="9" t="str">
        <f t="shared" si="2"/>
        <v>Bulk</v>
      </c>
      <c r="Q133" s="9" t="str">
        <f>IF(Table1[[#This Row],[Discount]]&gt;=15%,"HIGH",IF(Table1[[#This Row],[Discount]]&gt;=55,"MEDIUM","NONE"))</f>
        <v>NONE</v>
      </c>
      <c r="R133" s="9">
        <f>Table1[[#This Row],[Ship Date]]-Table1[[#This Row],[Order Date]]</f>
        <v>2</v>
      </c>
      <c r="S133" s="9">
        <f>VLOOKUP(Table1[[#This Row],[Region]],Table2[],2,FALSE)</f>
        <v>160000</v>
      </c>
      <c r="T133" s="9">
        <f>INDEX(Table2[Quarterly Target],MATCH(Table1[[#This Row],[Region]],Table2[[Region ]],0))</f>
        <v>160000</v>
      </c>
      <c r="U133" s="9">
        <f>RANK(Table1[[#This Row],[Sales]],Table1[Sales])</f>
        <v>59</v>
      </c>
      <c r="V133" s="21">
        <f>SUM(N$2:N134)</f>
        <v>493195.3305000001</v>
      </c>
    </row>
    <row r="134" spans="1:22" x14ac:dyDescent="0.25">
      <c r="A134" s="5" t="s">
        <v>381</v>
      </c>
      <c r="B134" s="6" t="s">
        <v>382</v>
      </c>
      <c r="C134" s="6" t="s">
        <v>383</v>
      </c>
      <c r="D134" s="7" t="s">
        <v>30</v>
      </c>
      <c r="E134" s="7" t="s">
        <v>59</v>
      </c>
      <c r="F134" s="7" t="s">
        <v>18</v>
      </c>
      <c r="G134" s="7" t="s">
        <v>26</v>
      </c>
      <c r="H134" s="7" t="s">
        <v>20</v>
      </c>
      <c r="I134" s="7" t="s">
        <v>192</v>
      </c>
      <c r="J134" s="7">
        <v>18</v>
      </c>
      <c r="K134" s="24">
        <v>439.33</v>
      </c>
      <c r="L134" s="8">
        <v>0.15</v>
      </c>
      <c r="M134" s="20">
        <v>260.86</v>
      </c>
      <c r="N134" s="21">
        <f>(Table1[[#This Row],[Quantity]]*Table1[[#This Row],[Unit Price]])*(1-Table1[[#This Row],[Discount]])</f>
        <v>6721.7489999999998</v>
      </c>
      <c r="O134" s="21">
        <f>(Table1[[#This Row],[Unit Price]]-Table1[[#This Row],[Unit Cost]])*Table1[[#This Row],[Quantity]]</f>
        <v>3212.4599999999996</v>
      </c>
      <c r="P134" s="9" t="str">
        <f t="shared" si="2"/>
        <v>Standard</v>
      </c>
      <c r="Q134" s="9" t="str">
        <f>IF(Table1[[#This Row],[Discount]]&gt;=15%,"HIGH",IF(Table1[[#This Row],[Discount]]&gt;=55,"MEDIUM","NONE"))</f>
        <v>HIGH</v>
      </c>
      <c r="R134" s="9">
        <f>Table1[[#This Row],[Ship Date]]-Table1[[#This Row],[Order Date]]</f>
        <v>3</v>
      </c>
      <c r="S134" s="9">
        <f>VLOOKUP(Table1[[#This Row],[Region]],Table2[],2,FALSE)</f>
        <v>140000</v>
      </c>
      <c r="T134" s="9">
        <f>INDEX(Table2[Quarterly Target],MATCH(Table1[[#This Row],[Region]],Table2[[Region ]],0))</f>
        <v>140000</v>
      </c>
      <c r="U134" s="9">
        <f>RANK(Table1[[#This Row],[Sales]],Table1[Sales])</f>
        <v>78</v>
      </c>
      <c r="V134" s="21">
        <f>SUM(N$2:N135)</f>
        <v>493842.2705000001</v>
      </c>
    </row>
    <row r="135" spans="1:22" x14ac:dyDescent="0.25">
      <c r="A135" s="5" t="s">
        <v>384</v>
      </c>
      <c r="B135" s="6" t="s">
        <v>385</v>
      </c>
      <c r="C135" s="6" t="s">
        <v>386</v>
      </c>
      <c r="D135" s="7" t="s">
        <v>30</v>
      </c>
      <c r="E135" s="7" t="s">
        <v>75</v>
      </c>
      <c r="F135" s="7" t="s">
        <v>43</v>
      </c>
      <c r="G135" s="7" t="s">
        <v>26</v>
      </c>
      <c r="H135" s="7" t="s">
        <v>45</v>
      </c>
      <c r="I135" s="7" t="s">
        <v>68</v>
      </c>
      <c r="J135" s="7">
        <v>7</v>
      </c>
      <c r="K135" s="24">
        <v>92.42</v>
      </c>
      <c r="L135" s="8">
        <v>0</v>
      </c>
      <c r="M135" s="20">
        <v>71.3</v>
      </c>
      <c r="N135" s="21">
        <f>(Table1[[#This Row],[Quantity]]*Table1[[#This Row],[Unit Price]])*(1-Table1[[#This Row],[Discount]])</f>
        <v>646.94000000000005</v>
      </c>
      <c r="O135" s="21">
        <f>(Table1[[#This Row],[Unit Price]]-Table1[[#This Row],[Unit Cost]])*Table1[[#This Row],[Quantity]]</f>
        <v>147.84000000000003</v>
      </c>
      <c r="P135" s="9" t="str">
        <f t="shared" si="2"/>
        <v>Bulk</v>
      </c>
      <c r="Q135" s="9" t="str">
        <f>IF(Table1[[#This Row],[Discount]]&gt;=15%,"HIGH",IF(Table1[[#This Row],[Discount]]&gt;=55,"MEDIUM","NONE"))</f>
        <v>NONE</v>
      </c>
      <c r="R135" s="9">
        <f>Table1[[#This Row],[Ship Date]]-Table1[[#This Row],[Order Date]]</f>
        <v>3</v>
      </c>
      <c r="S135" s="9">
        <f>VLOOKUP(Table1[[#This Row],[Region]],Table2[],2,FALSE)</f>
        <v>150000</v>
      </c>
      <c r="T135" s="9">
        <f>INDEX(Table2[Quarterly Target],MATCH(Table1[[#This Row],[Region]],Table2[[Region ]],0))</f>
        <v>150000</v>
      </c>
      <c r="U135" s="9">
        <f>RANK(Table1[[#This Row],[Sales]],Table1[Sales])</f>
        <v>208</v>
      </c>
      <c r="V135" s="21">
        <f>SUM(N$2:N136)</f>
        <v>494026.45450000011</v>
      </c>
    </row>
    <row r="136" spans="1:22" x14ac:dyDescent="0.25">
      <c r="A136" s="5" t="s">
        <v>387</v>
      </c>
      <c r="B136" s="6" t="s">
        <v>388</v>
      </c>
      <c r="C136" s="6" t="s">
        <v>388</v>
      </c>
      <c r="D136" s="7" t="s">
        <v>24</v>
      </c>
      <c r="E136" s="7" t="s">
        <v>37</v>
      </c>
      <c r="F136" s="7" t="s">
        <v>60</v>
      </c>
      <c r="G136" s="7" t="s">
        <v>26</v>
      </c>
      <c r="H136" s="7" t="s">
        <v>61</v>
      </c>
      <c r="I136" s="7" t="s">
        <v>72</v>
      </c>
      <c r="J136" s="7">
        <v>7</v>
      </c>
      <c r="K136" s="24">
        <v>32.89</v>
      </c>
      <c r="L136" s="8">
        <v>0.2</v>
      </c>
      <c r="M136" s="20">
        <v>24.51</v>
      </c>
      <c r="N136" s="21">
        <f>(Table1[[#This Row],[Quantity]]*Table1[[#This Row],[Unit Price]])*(1-Table1[[#This Row],[Discount]])</f>
        <v>184.18400000000003</v>
      </c>
      <c r="O136" s="21">
        <f>(Table1[[#This Row],[Unit Price]]-Table1[[#This Row],[Unit Cost]])*Table1[[#This Row],[Quantity]]</f>
        <v>58.66</v>
      </c>
      <c r="P136" s="9" t="str">
        <f t="shared" si="2"/>
        <v>Standard</v>
      </c>
      <c r="Q136" s="9" t="str">
        <f>IF(Table1[[#This Row],[Discount]]&gt;=15%,"HIGH",IF(Table1[[#This Row],[Discount]]&gt;=55,"MEDIUM","NONE"))</f>
        <v>HIGH</v>
      </c>
      <c r="R136" s="9">
        <f>Table1[[#This Row],[Ship Date]]-Table1[[#This Row],[Order Date]]</f>
        <v>0</v>
      </c>
      <c r="S136" s="9">
        <f>VLOOKUP(Table1[[#This Row],[Region]],Table2[],2,FALSE)</f>
        <v>160000</v>
      </c>
      <c r="T136" s="9">
        <f>INDEX(Table2[Quarterly Target],MATCH(Table1[[#This Row],[Region]],Table2[[Region ]],0))</f>
        <v>160000</v>
      </c>
      <c r="U136" s="9">
        <f>RANK(Table1[[#This Row],[Sales]],Table1[Sales])</f>
        <v>322</v>
      </c>
      <c r="V136" s="21">
        <f>SUM(N$2:N137)</f>
        <v>494145.35650000011</v>
      </c>
    </row>
    <row r="137" spans="1:22" x14ac:dyDescent="0.25">
      <c r="A137" s="5" t="s">
        <v>389</v>
      </c>
      <c r="B137" s="6" t="s">
        <v>231</v>
      </c>
      <c r="C137" s="6" t="s">
        <v>232</v>
      </c>
      <c r="D137" s="7" t="s">
        <v>30</v>
      </c>
      <c r="E137" s="7" t="s">
        <v>75</v>
      </c>
      <c r="F137" s="7" t="s">
        <v>60</v>
      </c>
      <c r="G137" s="7" t="s">
        <v>97</v>
      </c>
      <c r="H137" s="7" t="s">
        <v>33</v>
      </c>
      <c r="I137" s="7" t="s">
        <v>76</v>
      </c>
      <c r="J137" s="7">
        <v>6</v>
      </c>
      <c r="K137" s="24">
        <v>20.86</v>
      </c>
      <c r="L137" s="8">
        <v>0.05</v>
      </c>
      <c r="M137" s="20">
        <v>13.39</v>
      </c>
      <c r="N137" s="21">
        <f>(Table1[[#This Row],[Quantity]]*Table1[[#This Row],[Unit Price]])*(1-Table1[[#This Row],[Discount]])</f>
        <v>118.90199999999999</v>
      </c>
      <c r="O137" s="21">
        <f>(Table1[[#This Row],[Unit Price]]-Table1[[#This Row],[Unit Cost]])*Table1[[#This Row],[Quantity]]</f>
        <v>44.819999999999993</v>
      </c>
      <c r="P137" s="9" t="str">
        <f t="shared" si="2"/>
        <v>Standard</v>
      </c>
      <c r="Q137" s="9" t="str">
        <f>IF(Table1[[#This Row],[Discount]]&gt;=15%,"HIGH",IF(Table1[[#This Row],[Discount]]&gt;=55,"MEDIUM","NONE"))</f>
        <v>NONE</v>
      </c>
      <c r="R137" s="9">
        <f>Table1[[#This Row],[Ship Date]]-Table1[[#This Row],[Order Date]]</f>
        <v>2</v>
      </c>
      <c r="S137" s="9">
        <f>VLOOKUP(Table1[[#This Row],[Region]],Table2[],2,FALSE)</f>
        <v>160000</v>
      </c>
      <c r="T137" s="9">
        <f>INDEX(Table2[Quarterly Target],MATCH(Table1[[#This Row],[Region]],Table2[[Region ]],0))</f>
        <v>160000</v>
      </c>
      <c r="U137" s="9">
        <f>RANK(Table1[[#This Row],[Sales]],Table1[Sales])</f>
        <v>349</v>
      </c>
      <c r="V137" s="21">
        <f>SUM(N$2:N138)</f>
        <v>494628.4285000001</v>
      </c>
    </row>
    <row r="138" spans="1:22" x14ac:dyDescent="0.25">
      <c r="A138" s="5" t="s">
        <v>390</v>
      </c>
      <c r="B138" s="6" t="s">
        <v>391</v>
      </c>
      <c r="C138" s="6" t="s">
        <v>392</v>
      </c>
      <c r="D138" s="7" t="s">
        <v>30</v>
      </c>
      <c r="E138" s="7" t="s">
        <v>78</v>
      </c>
      <c r="F138" s="7" t="s">
        <v>38</v>
      </c>
      <c r="G138" s="7" t="s">
        <v>44</v>
      </c>
      <c r="H138" s="7" t="s">
        <v>20</v>
      </c>
      <c r="I138" s="7" t="s">
        <v>139</v>
      </c>
      <c r="J138" s="7">
        <v>4</v>
      </c>
      <c r="K138" s="24">
        <v>142.08000000000001</v>
      </c>
      <c r="L138" s="8">
        <v>0.15</v>
      </c>
      <c r="M138" s="20">
        <v>88.65</v>
      </c>
      <c r="N138" s="21">
        <f>(Table1[[#This Row],[Quantity]]*Table1[[#This Row],[Unit Price]])*(1-Table1[[#This Row],[Discount]])</f>
        <v>483.072</v>
      </c>
      <c r="O138" s="21">
        <f>(Table1[[#This Row],[Unit Price]]-Table1[[#This Row],[Unit Cost]])*Table1[[#This Row],[Quantity]]</f>
        <v>213.72000000000003</v>
      </c>
      <c r="P138" s="9" t="str">
        <f t="shared" si="2"/>
        <v>Standard</v>
      </c>
      <c r="Q138" s="9" t="str">
        <f>IF(Table1[[#This Row],[Discount]]&gt;=15%,"HIGH",IF(Table1[[#This Row],[Discount]]&gt;=55,"MEDIUM","NONE"))</f>
        <v>HIGH</v>
      </c>
      <c r="R138" s="9">
        <f>Table1[[#This Row],[Ship Date]]-Table1[[#This Row],[Order Date]]</f>
        <v>3</v>
      </c>
      <c r="S138" s="9">
        <f>VLOOKUP(Table1[[#This Row],[Region]],Table2[],2,FALSE)</f>
        <v>120000</v>
      </c>
      <c r="T138" s="9">
        <f>INDEX(Table2[Quarterly Target],MATCH(Table1[[#This Row],[Region]],Table2[[Region ]],0))</f>
        <v>120000</v>
      </c>
      <c r="U138" s="9">
        <f>RANK(Table1[[#This Row],[Sales]],Table1[Sales])</f>
        <v>228</v>
      </c>
      <c r="V138" s="21">
        <f>SUM(N$2:N139)</f>
        <v>494986.38050000009</v>
      </c>
    </row>
    <row r="139" spans="1:22" x14ac:dyDescent="0.25">
      <c r="A139" s="5" t="s">
        <v>393</v>
      </c>
      <c r="B139" s="6" t="s">
        <v>105</v>
      </c>
      <c r="C139" s="6" t="s">
        <v>105</v>
      </c>
      <c r="D139" s="7" t="s">
        <v>24</v>
      </c>
      <c r="E139" s="7" t="s">
        <v>133</v>
      </c>
      <c r="F139" s="7" t="s">
        <v>60</v>
      </c>
      <c r="G139" s="7" t="s">
        <v>32</v>
      </c>
      <c r="H139" s="7" t="s">
        <v>61</v>
      </c>
      <c r="I139" s="7" t="s">
        <v>169</v>
      </c>
      <c r="J139" s="7">
        <v>14</v>
      </c>
      <c r="K139" s="24">
        <v>31.96</v>
      </c>
      <c r="L139" s="8">
        <v>0.2</v>
      </c>
      <c r="M139" s="20">
        <v>25.15</v>
      </c>
      <c r="N139" s="21">
        <f>(Table1[[#This Row],[Quantity]]*Table1[[#This Row],[Unit Price]])*(1-Table1[[#This Row],[Discount]])</f>
        <v>357.952</v>
      </c>
      <c r="O139" s="21">
        <f>(Table1[[#This Row],[Unit Price]]-Table1[[#This Row],[Unit Cost]])*Table1[[#This Row],[Quantity]]</f>
        <v>95.340000000000032</v>
      </c>
      <c r="P139" s="9" t="str">
        <f t="shared" si="2"/>
        <v>Standard</v>
      </c>
      <c r="Q139" s="9" t="str">
        <f>IF(Table1[[#This Row],[Discount]]&gt;=15%,"HIGH",IF(Table1[[#This Row],[Discount]]&gt;=55,"MEDIUM","NONE"))</f>
        <v>HIGH</v>
      </c>
      <c r="R139" s="9">
        <f>Table1[[#This Row],[Ship Date]]-Table1[[#This Row],[Order Date]]</f>
        <v>0</v>
      </c>
      <c r="S139" s="9">
        <f>VLOOKUP(Table1[[#This Row],[Region]],Table2[],2,FALSE)</f>
        <v>160000</v>
      </c>
      <c r="T139" s="9">
        <f>INDEX(Table2[Quarterly Target],MATCH(Table1[[#This Row],[Region]],Table2[[Region ]],0))</f>
        <v>160000</v>
      </c>
      <c r="U139" s="9">
        <f>RANK(Table1[[#This Row],[Sales]],Table1[Sales])</f>
        <v>257</v>
      </c>
      <c r="V139" s="21">
        <f>SUM(N$2:N140)</f>
        <v>495425.38050000009</v>
      </c>
    </row>
    <row r="140" spans="1:22" x14ac:dyDescent="0.25">
      <c r="A140" s="5" t="s">
        <v>394</v>
      </c>
      <c r="B140" s="6" t="s">
        <v>395</v>
      </c>
      <c r="C140" s="6" t="s">
        <v>121</v>
      </c>
      <c r="D140" s="7" t="s">
        <v>16</v>
      </c>
      <c r="E140" s="7" t="s">
        <v>112</v>
      </c>
      <c r="F140" s="7" t="s">
        <v>25</v>
      </c>
      <c r="G140" s="7" t="s">
        <v>82</v>
      </c>
      <c r="H140" s="7" t="s">
        <v>45</v>
      </c>
      <c r="I140" s="7" t="s">
        <v>46</v>
      </c>
      <c r="J140" s="7">
        <v>5</v>
      </c>
      <c r="K140" s="24">
        <v>109.75</v>
      </c>
      <c r="L140" s="8">
        <v>0.2</v>
      </c>
      <c r="M140" s="20">
        <v>78.06</v>
      </c>
      <c r="N140" s="21">
        <f>(Table1[[#This Row],[Quantity]]*Table1[[#This Row],[Unit Price]])*(1-Table1[[#This Row],[Discount]])</f>
        <v>439</v>
      </c>
      <c r="O140" s="21">
        <f>(Table1[[#This Row],[Unit Price]]-Table1[[#This Row],[Unit Cost]])*Table1[[#This Row],[Quantity]]</f>
        <v>158.44999999999999</v>
      </c>
      <c r="P140" s="9" t="str">
        <f t="shared" si="2"/>
        <v>Bulk</v>
      </c>
      <c r="Q140" s="9" t="str">
        <f>IF(Table1[[#This Row],[Discount]]&gt;=15%,"HIGH",IF(Table1[[#This Row],[Discount]]&gt;=55,"MEDIUM","NONE"))</f>
        <v>HIGH</v>
      </c>
      <c r="R140" s="9">
        <f>Table1[[#This Row],[Ship Date]]-Table1[[#This Row],[Order Date]]</f>
        <v>6</v>
      </c>
      <c r="S140" s="9">
        <f>VLOOKUP(Table1[[#This Row],[Region]],Table2[],2,FALSE)</f>
        <v>130000</v>
      </c>
      <c r="T140" s="9">
        <f>INDEX(Table2[Quarterly Target],MATCH(Table1[[#This Row],[Region]],Table2[[Region ]],0))</f>
        <v>130000</v>
      </c>
      <c r="U140" s="9">
        <f>RANK(Table1[[#This Row],[Sales]],Table1[Sales])</f>
        <v>237</v>
      </c>
      <c r="V140" s="21">
        <f>SUM(N$2:N141)</f>
        <v>507947.30550000007</v>
      </c>
    </row>
    <row r="141" spans="1:22" x14ac:dyDescent="0.25">
      <c r="A141" s="5" t="s">
        <v>396</v>
      </c>
      <c r="B141" s="6" t="s">
        <v>397</v>
      </c>
      <c r="C141" s="6" t="s">
        <v>398</v>
      </c>
      <c r="D141" s="7" t="s">
        <v>30</v>
      </c>
      <c r="E141" s="7" t="s">
        <v>75</v>
      </c>
      <c r="F141" s="7" t="s">
        <v>25</v>
      </c>
      <c r="G141" s="7" t="s">
        <v>32</v>
      </c>
      <c r="H141" s="7" t="s">
        <v>20</v>
      </c>
      <c r="I141" s="7" t="s">
        <v>192</v>
      </c>
      <c r="J141" s="7">
        <v>15</v>
      </c>
      <c r="K141" s="24">
        <v>927.55</v>
      </c>
      <c r="L141" s="8">
        <v>0.1</v>
      </c>
      <c r="M141" s="20">
        <v>542.08000000000004</v>
      </c>
      <c r="N141" s="21">
        <f>(Table1[[#This Row],[Quantity]]*Table1[[#This Row],[Unit Price]])*(1-Table1[[#This Row],[Discount]])</f>
        <v>12521.925000000001</v>
      </c>
      <c r="O141" s="21">
        <f>(Table1[[#This Row],[Unit Price]]-Table1[[#This Row],[Unit Cost]])*Table1[[#This Row],[Quantity]]</f>
        <v>5782.0499999999984</v>
      </c>
      <c r="P141" s="9" t="str">
        <f t="shared" si="2"/>
        <v>Standard</v>
      </c>
      <c r="Q141" s="9" t="str">
        <f>IF(Table1[[#This Row],[Discount]]&gt;=15%,"HIGH",IF(Table1[[#This Row],[Discount]]&gt;=55,"MEDIUM","NONE"))</f>
        <v>NONE</v>
      </c>
      <c r="R141" s="9">
        <f>Table1[[#This Row],[Ship Date]]-Table1[[#This Row],[Order Date]]</f>
        <v>3</v>
      </c>
      <c r="S141" s="9">
        <f>VLOOKUP(Table1[[#This Row],[Region]],Table2[],2,FALSE)</f>
        <v>130000</v>
      </c>
      <c r="T141" s="9">
        <f>INDEX(Table2[Quarterly Target],MATCH(Table1[[#This Row],[Region]],Table2[[Region ]],0))</f>
        <v>130000</v>
      </c>
      <c r="U141" s="9">
        <f>RANK(Table1[[#This Row],[Sales]],Table1[Sales])</f>
        <v>30</v>
      </c>
      <c r="V141" s="21">
        <f>SUM(N$2:N142)</f>
        <v>508202.96850000008</v>
      </c>
    </row>
    <row r="142" spans="1:22" x14ac:dyDescent="0.25">
      <c r="A142" s="5" t="s">
        <v>399</v>
      </c>
      <c r="B142" s="6" t="s">
        <v>400</v>
      </c>
      <c r="C142" s="6" t="s">
        <v>401</v>
      </c>
      <c r="D142" s="7" t="s">
        <v>30</v>
      </c>
      <c r="E142" s="7" t="s">
        <v>91</v>
      </c>
      <c r="F142" s="7" t="s">
        <v>43</v>
      </c>
      <c r="G142" s="7" t="s">
        <v>50</v>
      </c>
      <c r="H142" s="7" t="s">
        <v>33</v>
      </c>
      <c r="I142" s="7" t="s">
        <v>51</v>
      </c>
      <c r="J142" s="7">
        <v>17</v>
      </c>
      <c r="K142" s="24">
        <v>16.71</v>
      </c>
      <c r="L142" s="8">
        <v>0.1</v>
      </c>
      <c r="M142" s="20">
        <v>9.68</v>
      </c>
      <c r="N142" s="21">
        <f>(Table1[[#This Row],[Quantity]]*Table1[[#This Row],[Unit Price]])*(1-Table1[[#This Row],[Discount]])</f>
        <v>255.66300000000001</v>
      </c>
      <c r="O142" s="21">
        <f>(Table1[[#This Row],[Unit Price]]-Table1[[#This Row],[Unit Cost]])*Table1[[#This Row],[Quantity]]</f>
        <v>119.51000000000002</v>
      </c>
      <c r="P142" s="9" t="str">
        <f t="shared" si="2"/>
        <v>Bulk</v>
      </c>
      <c r="Q142" s="9" t="str">
        <f>IF(Table1[[#This Row],[Discount]]&gt;=15%,"HIGH",IF(Table1[[#This Row],[Discount]]&gt;=55,"MEDIUM","NONE"))</f>
        <v>NONE</v>
      </c>
      <c r="R142" s="9">
        <f>Table1[[#This Row],[Ship Date]]-Table1[[#This Row],[Order Date]]</f>
        <v>3</v>
      </c>
      <c r="S142" s="9">
        <f>VLOOKUP(Table1[[#This Row],[Region]],Table2[],2,FALSE)</f>
        <v>150000</v>
      </c>
      <c r="T142" s="9">
        <f>INDEX(Table2[Quarterly Target],MATCH(Table1[[#This Row],[Region]],Table2[[Region ]],0))</f>
        <v>150000</v>
      </c>
      <c r="U142" s="9">
        <f>RANK(Table1[[#This Row],[Sales]],Table1[Sales])</f>
        <v>289</v>
      </c>
      <c r="V142" s="21">
        <f>SUM(N$2:N143)</f>
        <v>508312.10850000009</v>
      </c>
    </row>
    <row r="143" spans="1:22" x14ac:dyDescent="0.25">
      <c r="A143" s="5" t="s">
        <v>402</v>
      </c>
      <c r="B143" s="6" t="s">
        <v>403</v>
      </c>
      <c r="C143" s="6" t="s">
        <v>404</v>
      </c>
      <c r="D143" s="7" t="s">
        <v>16</v>
      </c>
      <c r="E143" s="7" t="s">
        <v>96</v>
      </c>
      <c r="F143" s="7" t="s">
        <v>25</v>
      </c>
      <c r="G143" s="7" t="s">
        <v>50</v>
      </c>
      <c r="H143" s="7" t="s">
        <v>33</v>
      </c>
      <c r="I143" s="7" t="s">
        <v>76</v>
      </c>
      <c r="J143" s="7">
        <v>15</v>
      </c>
      <c r="K143" s="24">
        <v>8.56</v>
      </c>
      <c r="L143" s="8">
        <v>0.15</v>
      </c>
      <c r="M143" s="20">
        <v>5.66</v>
      </c>
      <c r="N143" s="21">
        <f>(Table1[[#This Row],[Quantity]]*Table1[[#This Row],[Unit Price]])*(1-Table1[[#This Row],[Discount]])</f>
        <v>109.14</v>
      </c>
      <c r="O143" s="21">
        <f>(Table1[[#This Row],[Unit Price]]-Table1[[#This Row],[Unit Cost]])*Table1[[#This Row],[Quantity]]</f>
        <v>43.500000000000007</v>
      </c>
      <c r="P143" s="9" t="str">
        <f t="shared" si="2"/>
        <v>Bulk</v>
      </c>
      <c r="Q143" s="9" t="str">
        <f>IF(Table1[[#This Row],[Discount]]&gt;=15%,"HIGH",IF(Table1[[#This Row],[Discount]]&gt;=55,"MEDIUM","NONE"))</f>
        <v>HIGH</v>
      </c>
      <c r="R143" s="9">
        <f>Table1[[#This Row],[Ship Date]]-Table1[[#This Row],[Order Date]]</f>
        <v>4</v>
      </c>
      <c r="S143" s="9">
        <f>VLOOKUP(Table1[[#This Row],[Region]],Table2[],2,FALSE)</f>
        <v>130000</v>
      </c>
      <c r="T143" s="9">
        <f>INDEX(Table2[Quarterly Target],MATCH(Table1[[#This Row],[Region]],Table2[[Region ]],0))</f>
        <v>130000</v>
      </c>
      <c r="U143" s="9">
        <f>RANK(Table1[[#This Row],[Sales]],Table1[Sales])</f>
        <v>354</v>
      </c>
      <c r="V143" s="21">
        <f>SUM(N$2:N144)</f>
        <v>508460.26350000012</v>
      </c>
    </row>
    <row r="144" spans="1:22" x14ac:dyDescent="0.25">
      <c r="A144" s="5" t="s">
        <v>405</v>
      </c>
      <c r="B144" s="6" t="s">
        <v>406</v>
      </c>
      <c r="C144" s="6" t="s">
        <v>407</v>
      </c>
      <c r="D144" s="7" t="s">
        <v>30</v>
      </c>
      <c r="E144" s="7" t="s">
        <v>122</v>
      </c>
      <c r="F144" s="7" t="s">
        <v>38</v>
      </c>
      <c r="G144" s="7" t="s">
        <v>44</v>
      </c>
      <c r="H144" s="7" t="s">
        <v>33</v>
      </c>
      <c r="I144" s="7" t="s">
        <v>34</v>
      </c>
      <c r="J144" s="7">
        <v>6</v>
      </c>
      <c r="K144" s="24">
        <v>29.05</v>
      </c>
      <c r="L144" s="8">
        <v>0.15</v>
      </c>
      <c r="M144" s="20">
        <v>20.61</v>
      </c>
      <c r="N144" s="21">
        <f>(Table1[[#This Row],[Quantity]]*Table1[[#This Row],[Unit Price]])*(1-Table1[[#This Row],[Discount]])</f>
        <v>148.155</v>
      </c>
      <c r="O144" s="21">
        <f>(Table1[[#This Row],[Unit Price]]-Table1[[#This Row],[Unit Cost]])*Table1[[#This Row],[Quantity]]</f>
        <v>50.640000000000008</v>
      </c>
      <c r="P144" s="9" t="str">
        <f t="shared" si="2"/>
        <v>Bulk</v>
      </c>
      <c r="Q144" s="9" t="str">
        <f>IF(Table1[[#This Row],[Discount]]&gt;=15%,"HIGH",IF(Table1[[#This Row],[Discount]]&gt;=55,"MEDIUM","NONE"))</f>
        <v>HIGH</v>
      </c>
      <c r="R144" s="9">
        <f>Table1[[#This Row],[Ship Date]]-Table1[[#This Row],[Order Date]]</f>
        <v>2</v>
      </c>
      <c r="S144" s="9">
        <f>VLOOKUP(Table1[[#This Row],[Region]],Table2[],2,FALSE)</f>
        <v>120000</v>
      </c>
      <c r="T144" s="9">
        <f>INDEX(Table2[Quarterly Target],MATCH(Table1[[#This Row],[Region]],Table2[[Region ]],0))</f>
        <v>120000</v>
      </c>
      <c r="U144" s="9">
        <f>RANK(Table1[[#This Row],[Sales]],Table1[Sales])</f>
        <v>335</v>
      </c>
      <c r="V144" s="21">
        <f>SUM(N$2:N145)</f>
        <v>516727.94250000012</v>
      </c>
    </row>
    <row r="145" spans="1:22" x14ac:dyDescent="0.25">
      <c r="A145" s="5" t="s">
        <v>408</v>
      </c>
      <c r="B145" s="6" t="s">
        <v>166</v>
      </c>
      <c r="C145" s="6" t="s">
        <v>167</v>
      </c>
      <c r="D145" s="7" t="s">
        <v>30</v>
      </c>
      <c r="E145" s="7" t="s">
        <v>66</v>
      </c>
      <c r="F145" s="7" t="s">
        <v>25</v>
      </c>
      <c r="G145" s="7" t="s">
        <v>26</v>
      </c>
      <c r="H145" s="7" t="s">
        <v>45</v>
      </c>
      <c r="I145" s="7" t="s">
        <v>68</v>
      </c>
      <c r="J145" s="7">
        <v>18</v>
      </c>
      <c r="K145" s="24">
        <v>483.49</v>
      </c>
      <c r="L145" s="8">
        <v>0.05</v>
      </c>
      <c r="M145" s="20">
        <v>363.06</v>
      </c>
      <c r="N145" s="21">
        <f>(Table1[[#This Row],[Quantity]]*Table1[[#This Row],[Unit Price]])*(1-Table1[[#This Row],[Discount]])</f>
        <v>8267.6790000000001</v>
      </c>
      <c r="O145" s="21">
        <f>(Table1[[#This Row],[Unit Price]]-Table1[[#This Row],[Unit Cost]])*Table1[[#This Row],[Quantity]]</f>
        <v>2167.7400000000002</v>
      </c>
      <c r="P145" s="9" t="str">
        <f t="shared" si="2"/>
        <v>Standard</v>
      </c>
      <c r="Q145" s="9" t="str">
        <f>IF(Table1[[#This Row],[Discount]]&gt;=15%,"HIGH",IF(Table1[[#This Row],[Discount]]&gt;=55,"MEDIUM","NONE"))</f>
        <v>NONE</v>
      </c>
      <c r="R145" s="9">
        <f>Table1[[#This Row],[Ship Date]]-Table1[[#This Row],[Order Date]]</f>
        <v>2</v>
      </c>
      <c r="S145" s="9">
        <f>VLOOKUP(Table1[[#This Row],[Region]],Table2[],2,FALSE)</f>
        <v>130000</v>
      </c>
      <c r="T145" s="9">
        <f>INDEX(Table2[Quarterly Target],MATCH(Table1[[#This Row],[Region]],Table2[[Region ]],0))</f>
        <v>130000</v>
      </c>
      <c r="U145" s="9">
        <f>RANK(Table1[[#This Row],[Sales]],Table1[Sales])</f>
        <v>58</v>
      </c>
      <c r="V145" s="21">
        <f>SUM(N$2:N146)</f>
        <v>516819.14250000013</v>
      </c>
    </row>
    <row r="146" spans="1:22" x14ac:dyDescent="0.25">
      <c r="A146" s="5" t="s">
        <v>409</v>
      </c>
      <c r="B146" s="6" t="s">
        <v>410</v>
      </c>
      <c r="C146" s="6" t="s">
        <v>411</v>
      </c>
      <c r="D146" s="7" t="s">
        <v>30</v>
      </c>
      <c r="E146" s="7" t="s">
        <v>71</v>
      </c>
      <c r="F146" s="7" t="s">
        <v>60</v>
      </c>
      <c r="G146" s="7" t="s">
        <v>97</v>
      </c>
      <c r="H146" s="7" t="s">
        <v>33</v>
      </c>
      <c r="I146" s="7" t="s">
        <v>76</v>
      </c>
      <c r="J146" s="7">
        <v>19</v>
      </c>
      <c r="K146" s="24">
        <v>4.8</v>
      </c>
      <c r="L146" s="8">
        <v>0</v>
      </c>
      <c r="M146" s="20">
        <v>3.41</v>
      </c>
      <c r="N146" s="21">
        <f>(Table1[[#This Row],[Quantity]]*Table1[[#This Row],[Unit Price]])*(1-Table1[[#This Row],[Discount]])</f>
        <v>91.2</v>
      </c>
      <c r="O146" s="21">
        <f>(Table1[[#This Row],[Unit Price]]-Table1[[#This Row],[Unit Cost]])*Table1[[#This Row],[Quantity]]</f>
        <v>26.409999999999993</v>
      </c>
      <c r="P146" s="9" t="str">
        <f t="shared" si="2"/>
        <v>Bulk</v>
      </c>
      <c r="Q146" s="9" t="str">
        <f>IF(Table1[[#This Row],[Discount]]&gt;=15%,"HIGH",IF(Table1[[#This Row],[Discount]]&gt;=55,"MEDIUM","NONE"))</f>
        <v>NONE</v>
      </c>
      <c r="R146" s="9">
        <f>Table1[[#This Row],[Ship Date]]-Table1[[#This Row],[Order Date]]</f>
        <v>3</v>
      </c>
      <c r="S146" s="9">
        <f>VLOOKUP(Table1[[#This Row],[Region]],Table2[],2,FALSE)</f>
        <v>160000</v>
      </c>
      <c r="T146" s="9">
        <f>INDEX(Table2[Quarterly Target],MATCH(Table1[[#This Row],[Region]],Table2[[Region ]],0))</f>
        <v>160000</v>
      </c>
      <c r="U146" s="9">
        <f>RANK(Table1[[#This Row],[Sales]],Table1[Sales])</f>
        <v>365</v>
      </c>
      <c r="V146" s="21">
        <f>SUM(N$2:N147)</f>
        <v>517055.5745000001</v>
      </c>
    </row>
    <row r="147" spans="1:22" x14ac:dyDescent="0.25">
      <c r="A147" s="5" t="s">
        <v>412</v>
      </c>
      <c r="B147" s="6" t="s">
        <v>413</v>
      </c>
      <c r="C147" s="6" t="s">
        <v>344</v>
      </c>
      <c r="D147" s="7" t="s">
        <v>16</v>
      </c>
      <c r="E147" s="7" t="s">
        <v>109</v>
      </c>
      <c r="F147" s="7" t="s">
        <v>38</v>
      </c>
      <c r="G147" s="7" t="s">
        <v>50</v>
      </c>
      <c r="H147" s="7" t="s">
        <v>33</v>
      </c>
      <c r="I147" s="7" t="s">
        <v>51</v>
      </c>
      <c r="J147" s="7">
        <v>14</v>
      </c>
      <c r="K147" s="24">
        <v>21.11</v>
      </c>
      <c r="L147" s="8">
        <v>0.2</v>
      </c>
      <c r="M147" s="20">
        <v>11.9</v>
      </c>
      <c r="N147" s="21">
        <f>(Table1[[#This Row],[Quantity]]*Table1[[#This Row],[Unit Price]])*(1-Table1[[#This Row],[Discount]])</f>
        <v>236.43199999999999</v>
      </c>
      <c r="O147" s="21">
        <f>(Table1[[#This Row],[Unit Price]]-Table1[[#This Row],[Unit Cost]])*Table1[[#This Row],[Quantity]]</f>
        <v>128.94</v>
      </c>
      <c r="P147" s="9" t="str">
        <f t="shared" si="2"/>
        <v>Bulk</v>
      </c>
      <c r="Q147" s="9" t="str">
        <f>IF(Table1[[#This Row],[Discount]]&gt;=15%,"HIGH",IF(Table1[[#This Row],[Discount]]&gt;=55,"MEDIUM","NONE"))</f>
        <v>HIGH</v>
      </c>
      <c r="R147" s="9">
        <f>Table1[[#This Row],[Ship Date]]-Table1[[#This Row],[Order Date]]</f>
        <v>4</v>
      </c>
      <c r="S147" s="9">
        <f>VLOOKUP(Table1[[#This Row],[Region]],Table2[],2,FALSE)</f>
        <v>120000</v>
      </c>
      <c r="T147" s="9">
        <f>INDEX(Table2[Quarterly Target],MATCH(Table1[[#This Row],[Region]],Table2[[Region ]],0))</f>
        <v>120000</v>
      </c>
      <c r="U147" s="9">
        <f>RANK(Table1[[#This Row],[Sales]],Table1[Sales])</f>
        <v>297</v>
      </c>
      <c r="V147" s="21">
        <f>SUM(N$2:N148)</f>
        <v>523915.47450000013</v>
      </c>
    </row>
    <row r="148" spans="1:22" x14ac:dyDescent="0.25">
      <c r="A148" s="5" t="s">
        <v>414</v>
      </c>
      <c r="B148" s="6" t="s">
        <v>415</v>
      </c>
      <c r="C148" s="6" t="s">
        <v>415</v>
      </c>
      <c r="D148" s="7" t="s">
        <v>24</v>
      </c>
      <c r="E148" s="7" t="s">
        <v>17</v>
      </c>
      <c r="F148" s="7" t="s">
        <v>18</v>
      </c>
      <c r="G148" s="7" t="s">
        <v>32</v>
      </c>
      <c r="H148" s="7" t="s">
        <v>45</v>
      </c>
      <c r="I148" s="7" t="s">
        <v>68</v>
      </c>
      <c r="J148" s="7">
        <v>10</v>
      </c>
      <c r="K148" s="24">
        <v>685.99</v>
      </c>
      <c r="L148" s="8">
        <v>0</v>
      </c>
      <c r="M148" s="20">
        <v>410.96</v>
      </c>
      <c r="N148" s="21">
        <f>(Table1[[#This Row],[Quantity]]*Table1[[#This Row],[Unit Price]])*(1-Table1[[#This Row],[Discount]])</f>
        <v>6859.9</v>
      </c>
      <c r="O148" s="21">
        <f>(Table1[[#This Row],[Unit Price]]-Table1[[#This Row],[Unit Cost]])*Table1[[#This Row],[Quantity]]</f>
        <v>2750.3</v>
      </c>
      <c r="P148" s="9" t="str">
        <f t="shared" si="2"/>
        <v>Bulk</v>
      </c>
      <c r="Q148" s="9" t="str">
        <f>IF(Table1[[#This Row],[Discount]]&gt;=15%,"HIGH",IF(Table1[[#This Row],[Discount]]&gt;=55,"MEDIUM","NONE"))</f>
        <v>NONE</v>
      </c>
      <c r="R148" s="9">
        <f>Table1[[#This Row],[Ship Date]]-Table1[[#This Row],[Order Date]]</f>
        <v>0</v>
      </c>
      <c r="S148" s="9">
        <f>VLOOKUP(Table1[[#This Row],[Region]],Table2[],2,FALSE)</f>
        <v>140000</v>
      </c>
      <c r="T148" s="9">
        <f>INDEX(Table2[Quarterly Target],MATCH(Table1[[#This Row],[Region]],Table2[[Region ]],0))</f>
        <v>140000</v>
      </c>
      <c r="U148" s="9">
        <f>RANK(Table1[[#This Row],[Sales]],Table1[Sales])</f>
        <v>75</v>
      </c>
      <c r="V148" s="21">
        <f>SUM(N$2:N149)</f>
        <v>524042.41350000014</v>
      </c>
    </row>
    <row r="149" spans="1:22" x14ac:dyDescent="0.25">
      <c r="A149" s="5" t="s">
        <v>416</v>
      </c>
      <c r="B149" s="6" t="s">
        <v>417</v>
      </c>
      <c r="C149" s="6" t="s">
        <v>417</v>
      </c>
      <c r="D149" s="7" t="s">
        <v>24</v>
      </c>
      <c r="E149" s="7" t="s">
        <v>49</v>
      </c>
      <c r="F149" s="7" t="s">
        <v>38</v>
      </c>
      <c r="G149" s="7" t="s">
        <v>50</v>
      </c>
      <c r="H149" s="7" t="s">
        <v>33</v>
      </c>
      <c r="I149" s="7" t="s">
        <v>153</v>
      </c>
      <c r="J149" s="7">
        <v>19</v>
      </c>
      <c r="K149" s="24">
        <v>7.86</v>
      </c>
      <c r="L149" s="8">
        <v>0.15</v>
      </c>
      <c r="M149" s="20">
        <v>5.55</v>
      </c>
      <c r="N149" s="21">
        <f>(Table1[[#This Row],[Quantity]]*Table1[[#This Row],[Unit Price]])*(1-Table1[[#This Row],[Discount]])</f>
        <v>126.93899999999999</v>
      </c>
      <c r="O149" s="21">
        <f>(Table1[[#This Row],[Unit Price]]-Table1[[#This Row],[Unit Cost]])*Table1[[#This Row],[Quantity]]</f>
        <v>43.890000000000008</v>
      </c>
      <c r="P149" s="9" t="str">
        <f t="shared" si="2"/>
        <v>Standard</v>
      </c>
      <c r="Q149" s="9" t="str">
        <f>IF(Table1[[#This Row],[Discount]]&gt;=15%,"HIGH",IF(Table1[[#This Row],[Discount]]&gt;=55,"MEDIUM","NONE"))</f>
        <v>HIGH</v>
      </c>
      <c r="R149" s="9">
        <f>Table1[[#This Row],[Ship Date]]-Table1[[#This Row],[Order Date]]</f>
        <v>0</v>
      </c>
      <c r="S149" s="9">
        <f>VLOOKUP(Table1[[#This Row],[Region]],Table2[],2,FALSE)</f>
        <v>120000</v>
      </c>
      <c r="T149" s="9">
        <f>INDEX(Table2[Quarterly Target],MATCH(Table1[[#This Row],[Region]],Table2[[Region ]],0))</f>
        <v>120000</v>
      </c>
      <c r="U149" s="9">
        <f>RANK(Table1[[#This Row],[Sales]],Table1[Sales])</f>
        <v>345</v>
      </c>
      <c r="V149" s="21">
        <f>SUM(N$2:N150)</f>
        <v>534693.89350000012</v>
      </c>
    </row>
    <row r="150" spans="1:22" x14ac:dyDescent="0.25">
      <c r="A150" s="5" t="s">
        <v>418</v>
      </c>
      <c r="B150" s="6" t="s">
        <v>419</v>
      </c>
      <c r="C150" s="6" t="s">
        <v>419</v>
      </c>
      <c r="D150" s="7" t="s">
        <v>24</v>
      </c>
      <c r="E150" s="7" t="s">
        <v>37</v>
      </c>
      <c r="F150" s="7" t="s">
        <v>38</v>
      </c>
      <c r="G150" s="7" t="s">
        <v>19</v>
      </c>
      <c r="H150" s="7" t="s">
        <v>20</v>
      </c>
      <c r="I150" s="7" t="s">
        <v>21</v>
      </c>
      <c r="J150" s="7">
        <v>14</v>
      </c>
      <c r="K150" s="24">
        <v>760.82</v>
      </c>
      <c r="L150" s="8">
        <v>0</v>
      </c>
      <c r="M150" s="20">
        <v>513.17999999999995</v>
      </c>
      <c r="N150" s="21">
        <f>(Table1[[#This Row],[Quantity]]*Table1[[#This Row],[Unit Price]])*(1-Table1[[#This Row],[Discount]])</f>
        <v>10651.480000000001</v>
      </c>
      <c r="O150" s="21">
        <f>(Table1[[#This Row],[Unit Price]]-Table1[[#This Row],[Unit Cost]])*Table1[[#This Row],[Quantity]]</f>
        <v>3466.9600000000014</v>
      </c>
      <c r="P150" s="9" t="str">
        <f t="shared" si="2"/>
        <v>Bulk</v>
      </c>
      <c r="Q150" s="9" t="str">
        <f>IF(Table1[[#This Row],[Discount]]&gt;=15%,"HIGH",IF(Table1[[#This Row],[Discount]]&gt;=55,"MEDIUM","NONE"))</f>
        <v>NONE</v>
      </c>
      <c r="R150" s="9">
        <f>Table1[[#This Row],[Ship Date]]-Table1[[#This Row],[Order Date]]</f>
        <v>0</v>
      </c>
      <c r="S150" s="9">
        <f>VLOOKUP(Table1[[#This Row],[Region]],Table2[],2,FALSE)</f>
        <v>120000</v>
      </c>
      <c r="T150" s="9">
        <f>INDEX(Table2[Quarterly Target],MATCH(Table1[[#This Row],[Region]],Table2[[Region ]],0))</f>
        <v>120000</v>
      </c>
      <c r="U150" s="9">
        <f>RANK(Table1[[#This Row],[Sales]],Table1[Sales])</f>
        <v>41</v>
      </c>
      <c r="V150" s="21">
        <f>SUM(N$2:N151)</f>
        <v>535030.15550000011</v>
      </c>
    </row>
    <row r="151" spans="1:22" x14ac:dyDescent="0.25">
      <c r="A151" s="5" t="s">
        <v>420</v>
      </c>
      <c r="B151" s="6" t="s">
        <v>421</v>
      </c>
      <c r="C151" s="6" t="s">
        <v>421</v>
      </c>
      <c r="D151" s="7" t="s">
        <v>24</v>
      </c>
      <c r="E151" s="7" t="s">
        <v>75</v>
      </c>
      <c r="F151" s="7" t="s">
        <v>18</v>
      </c>
      <c r="G151" s="7" t="s">
        <v>67</v>
      </c>
      <c r="H151" s="7" t="s">
        <v>45</v>
      </c>
      <c r="I151" s="7" t="s">
        <v>143</v>
      </c>
      <c r="J151" s="7">
        <v>2</v>
      </c>
      <c r="K151" s="24">
        <v>176.98</v>
      </c>
      <c r="L151" s="8">
        <v>0.05</v>
      </c>
      <c r="M151" s="20">
        <v>118.76</v>
      </c>
      <c r="N151" s="21">
        <f>(Table1[[#This Row],[Quantity]]*Table1[[#This Row],[Unit Price]])*(1-Table1[[#This Row],[Discount]])</f>
        <v>336.26199999999994</v>
      </c>
      <c r="O151" s="21">
        <f>(Table1[[#This Row],[Unit Price]]-Table1[[#This Row],[Unit Cost]])*Table1[[#This Row],[Quantity]]</f>
        <v>116.43999999999997</v>
      </c>
      <c r="P151" s="9" t="str">
        <f t="shared" si="2"/>
        <v>Bulk</v>
      </c>
      <c r="Q151" s="9" t="str">
        <f>IF(Table1[[#This Row],[Discount]]&gt;=15%,"HIGH",IF(Table1[[#This Row],[Discount]]&gt;=55,"MEDIUM","NONE"))</f>
        <v>NONE</v>
      </c>
      <c r="R151" s="9">
        <f>Table1[[#This Row],[Ship Date]]-Table1[[#This Row],[Order Date]]</f>
        <v>0</v>
      </c>
      <c r="S151" s="9">
        <f>VLOOKUP(Table1[[#This Row],[Region]],Table2[],2,FALSE)</f>
        <v>140000</v>
      </c>
      <c r="T151" s="9">
        <f>INDEX(Table2[Quarterly Target],MATCH(Table1[[#This Row],[Region]],Table2[[Region ]],0))</f>
        <v>140000</v>
      </c>
      <c r="U151" s="9">
        <f>RANK(Table1[[#This Row],[Sales]],Table1[Sales])</f>
        <v>263</v>
      </c>
      <c r="V151" s="21">
        <f>SUM(N$2:N152)</f>
        <v>542549.65550000011</v>
      </c>
    </row>
    <row r="152" spans="1:22" x14ac:dyDescent="0.25">
      <c r="A152" s="5" t="s">
        <v>422</v>
      </c>
      <c r="B152" s="6" t="s">
        <v>423</v>
      </c>
      <c r="C152" s="6" t="s">
        <v>424</v>
      </c>
      <c r="D152" s="7" t="s">
        <v>16</v>
      </c>
      <c r="E152" s="7" t="s">
        <v>206</v>
      </c>
      <c r="F152" s="7" t="s">
        <v>18</v>
      </c>
      <c r="G152" s="7" t="s">
        <v>97</v>
      </c>
      <c r="H152" s="7" t="s">
        <v>45</v>
      </c>
      <c r="I152" s="7" t="s">
        <v>148</v>
      </c>
      <c r="J152" s="7">
        <v>25</v>
      </c>
      <c r="K152" s="24">
        <v>334.2</v>
      </c>
      <c r="L152" s="8">
        <v>0.1</v>
      </c>
      <c r="M152" s="20">
        <v>192.68</v>
      </c>
      <c r="N152" s="21">
        <f>(Table1[[#This Row],[Quantity]]*Table1[[#This Row],[Unit Price]])*(1-Table1[[#This Row],[Discount]])</f>
        <v>7519.5</v>
      </c>
      <c r="O152" s="21">
        <f>(Table1[[#This Row],[Unit Price]]-Table1[[#This Row],[Unit Cost]])*Table1[[#This Row],[Quantity]]</f>
        <v>3537.9999999999995</v>
      </c>
      <c r="P152" s="9" t="str">
        <f t="shared" si="2"/>
        <v>Standard</v>
      </c>
      <c r="Q152" s="9" t="str">
        <f>IF(Table1[[#This Row],[Discount]]&gt;=15%,"HIGH",IF(Table1[[#This Row],[Discount]]&gt;=55,"MEDIUM","NONE"))</f>
        <v>NONE</v>
      </c>
      <c r="R152" s="9">
        <f>Table1[[#This Row],[Ship Date]]-Table1[[#This Row],[Order Date]]</f>
        <v>5</v>
      </c>
      <c r="S152" s="9">
        <f>VLOOKUP(Table1[[#This Row],[Region]],Table2[],2,FALSE)</f>
        <v>140000</v>
      </c>
      <c r="T152" s="9">
        <f>INDEX(Table2[Quarterly Target],MATCH(Table1[[#This Row],[Region]],Table2[[Region ]],0))</f>
        <v>140000</v>
      </c>
      <c r="U152" s="9">
        <f>RANK(Table1[[#This Row],[Sales]],Table1[Sales])</f>
        <v>64</v>
      </c>
      <c r="V152" s="21">
        <f>SUM(N$2:N153)</f>
        <v>542853.0155000001</v>
      </c>
    </row>
    <row r="153" spans="1:22" x14ac:dyDescent="0.25">
      <c r="A153" s="5" t="s">
        <v>425</v>
      </c>
      <c r="B153" s="6" t="s">
        <v>146</v>
      </c>
      <c r="C153" s="6" t="s">
        <v>132</v>
      </c>
      <c r="D153" s="7" t="s">
        <v>16</v>
      </c>
      <c r="E153" s="7" t="s">
        <v>59</v>
      </c>
      <c r="F153" s="7" t="s">
        <v>25</v>
      </c>
      <c r="G153" s="7" t="s">
        <v>67</v>
      </c>
      <c r="H153" s="7" t="s">
        <v>33</v>
      </c>
      <c r="I153" s="7" t="s">
        <v>76</v>
      </c>
      <c r="J153" s="7">
        <v>10</v>
      </c>
      <c r="K153" s="24">
        <v>37.92</v>
      </c>
      <c r="L153" s="8">
        <v>0.2</v>
      </c>
      <c r="M153" s="20">
        <v>26.69</v>
      </c>
      <c r="N153" s="21">
        <f>(Table1[[#This Row],[Quantity]]*Table1[[#This Row],[Unit Price]])*(1-Table1[[#This Row],[Discount]])</f>
        <v>303.36000000000007</v>
      </c>
      <c r="O153" s="21">
        <f>(Table1[[#This Row],[Unit Price]]-Table1[[#This Row],[Unit Cost]])*Table1[[#This Row],[Quantity]]</f>
        <v>112.30000000000001</v>
      </c>
      <c r="P153" s="9" t="str">
        <f t="shared" si="2"/>
        <v>Bulk</v>
      </c>
      <c r="Q153" s="9" t="str">
        <f>IF(Table1[[#This Row],[Discount]]&gt;=15%,"HIGH",IF(Table1[[#This Row],[Discount]]&gt;=55,"MEDIUM","NONE"))</f>
        <v>HIGH</v>
      </c>
      <c r="R153" s="9">
        <f>Table1[[#This Row],[Ship Date]]-Table1[[#This Row],[Order Date]]</f>
        <v>5</v>
      </c>
      <c r="S153" s="9">
        <f>VLOOKUP(Table1[[#This Row],[Region]],Table2[],2,FALSE)</f>
        <v>130000</v>
      </c>
      <c r="T153" s="9">
        <f>INDEX(Table2[Quarterly Target],MATCH(Table1[[#This Row],[Region]],Table2[[Region ]],0))</f>
        <v>130000</v>
      </c>
      <c r="U153" s="9">
        <f>RANK(Table1[[#This Row],[Sales]],Table1[Sales])</f>
        <v>274</v>
      </c>
      <c r="V153" s="21">
        <f>SUM(N$2:N154)</f>
        <v>543062.0155000001</v>
      </c>
    </row>
    <row r="154" spans="1:22" x14ac:dyDescent="0.25">
      <c r="A154" s="5" t="s">
        <v>426</v>
      </c>
      <c r="B154" s="6" t="s">
        <v>427</v>
      </c>
      <c r="C154" s="6" t="s">
        <v>428</v>
      </c>
      <c r="D154" s="7" t="s">
        <v>30</v>
      </c>
      <c r="E154" s="7" t="s">
        <v>66</v>
      </c>
      <c r="F154" s="7" t="s">
        <v>25</v>
      </c>
      <c r="G154" s="7" t="s">
        <v>82</v>
      </c>
      <c r="H154" s="7" t="s">
        <v>33</v>
      </c>
      <c r="I154" s="7" t="s">
        <v>51</v>
      </c>
      <c r="J154" s="7">
        <v>10</v>
      </c>
      <c r="K154" s="24">
        <v>20.9</v>
      </c>
      <c r="L154" s="8">
        <v>0</v>
      </c>
      <c r="M154" s="20">
        <v>16.43</v>
      </c>
      <c r="N154" s="21">
        <f>(Table1[[#This Row],[Quantity]]*Table1[[#This Row],[Unit Price]])*(1-Table1[[#This Row],[Discount]])</f>
        <v>209</v>
      </c>
      <c r="O154" s="21">
        <f>(Table1[[#This Row],[Unit Price]]-Table1[[#This Row],[Unit Cost]])*Table1[[#This Row],[Quantity]]</f>
        <v>44.699999999999989</v>
      </c>
      <c r="P154" s="9" t="str">
        <f t="shared" si="2"/>
        <v>Standard</v>
      </c>
      <c r="Q154" s="9" t="str">
        <f>IF(Table1[[#This Row],[Discount]]&gt;=15%,"HIGH",IF(Table1[[#This Row],[Discount]]&gt;=55,"MEDIUM","NONE"))</f>
        <v>NONE</v>
      </c>
      <c r="R154" s="9">
        <f>Table1[[#This Row],[Ship Date]]-Table1[[#This Row],[Order Date]]</f>
        <v>2</v>
      </c>
      <c r="S154" s="9">
        <f>VLOOKUP(Table1[[#This Row],[Region]],Table2[],2,FALSE)</f>
        <v>130000</v>
      </c>
      <c r="T154" s="9">
        <f>INDEX(Table2[Quarterly Target],MATCH(Table1[[#This Row],[Region]],Table2[[Region ]],0))</f>
        <v>130000</v>
      </c>
      <c r="U154" s="9">
        <f>RANK(Table1[[#This Row],[Sales]],Table1[Sales])</f>
        <v>308</v>
      </c>
      <c r="V154" s="21">
        <f>SUM(N$2:N155)</f>
        <v>543640.77550000011</v>
      </c>
    </row>
    <row r="155" spans="1:22" x14ac:dyDescent="0.25">
      <c r="A155" s="5" t="s">
        <v>429</v>
      </c>
      <c r="B155" s="6" t="s">
        <v>430</v>
      </c>
      <c r="C155" s="6" t="s">
        <v>430</v>
      </c>
      <c r="D155" s="7" t="s">
        <v>24</v>
      </c>
      <c r="E155" s="7" t="s">
        <v>214</v>
      </c>
      <c r="F155" s="7" t="s">
        <v>43</v>
      </c>
      <c r="G155" s="7" t="s">
        <v>82</v>
      </c>
      <c r="H155" s="7" t="s">
        <v>33</v>
      </c>
      <c r="I155" s="7" t="s">
        <v>34</v>
      </c>
      <c r="J155" s="7">
        <v>21</v>
      </c>
      <c r="K155" s="24">
        <v>27.56</v>
      </c>
      <c r="L155" s="8">
        <v>0</v>
      </c>
      <c r="M155" s="20">
        <v>18.86</v>
      </c>
      <c r="N155" s="21">
        <f>(Table1[[#This Row],[Quantity]]*Table1[[#This Row],[Unit Price]])*(1-Table1[[#This Row],[Discount]])</f>
        <v>578.76</v>
      </c>
      <c r="O155" s="21">
        <f>(Table1[[#This Row],[Unit Price]]-Table1[[#This Row],[Unit Cost]])*Table1[[#This Row],[Quantity]]</f>
        <v>182.7</v>
      </c>
      <c r="P155" s="9" t="str">
        <f t="shared" si="2"/>
        <v>Standard</v>
      </c>
      <c r="Q155" s="9" t="str">
        <f>IF(Table1[[#This Row],[Discount]]&gt;=15%,"HIGH",IF(Table1[[#This Row],[Discount]]&gt;=55,"MEDIUM","NONE"))</f>
        <v>NONE</v>
      </c>
      <c r="R155" s="9">
        <f>Table1[[#This Row],[Ship Date]]-Table1[[#This Row],[Order Date]]</f>
        <v>0</v>
      </c>
      <c r="S155" s="9">
        <f>VLOOKUP(Table1[[#This Row],[Region]],Table2[],2,FALSE)</f>
        <v>150000</v>
      </c>
      <c r="T155" s="9">
        <f>INDEX(Table2[Quarterly Target],MATCH(Table1[[#This Row],[Region]],Table2[[Region ]],0))</f>
        <v>150000</v>
      </c>
      <c r="U155" s="9">
        <f>RANK(Table1[[#This Row],[Sales]],Table1[Sales])</f>
        <v>218</v>
      </c>
      <c r="V155" s="21">
        <f>SUM(N$2:N156)</f>
        <v>543688.11550000007</v>
      </c>
    </row>
    <row r="156" spans="1:22" x14ac:dyDescent="0.25">
      <c r="A156" s="5" t="s">
        <v>431</v>
      </c>
      <c r="B156" s="6" t="s">
        <v>124</v>
      </c>
      <c r="C156" s="6" t="s">
        <v>432</v>
      </c>
      <c r="D156" s="7" t="s">
        <v>30</v>
      </c>
      <c r="E156" s="7" t="s">
        <v>206</v>
      </c>
      <c r="F156" s="7" t="s">
        <v>60</v>
      </c>
      <c r="G156" s="7" t="s">
        <v>26</v>
      </c>
      <c r="H156" s="7" t="s">
        <v>33</v>
      </c>
      <c r="I156" s="7" t="s">
        <v>39</v>
      </c>
      <c r="J156" s="7">
        <v>2</v>
      </c>
      <c r="K156" s="24">
        <v>23.67</v>
      </c>
      <c r="L156" s="8">
        <v>0</v>
      </c>
      <c r="M156" s="20">
        <v>15.16</v>
      </c>
      <c r="N156" s="21">
        <f>(Table1[[#This Row],[Quantity]]*Table1[[#This Row],[Unit Price]])*(1-Table1[[#This Row],[Discount]])</f>
        <v>47.34</v>
      </c>
      <c r="O156" s="21">
        <f>(Table1[[#This Row],[Unit Price]]-Table1[[#This Row],[Unit Cost]])*Table1[[#This Row],[Quantity]]</f>
        <v>17.020000000000003</v>
      </c>
      <c r="P156" s="9" t="str">
        <f t="shared" si="2"/>
        <v>Bulk</v>
      </c>
      <c r="Q156" s="9" t="str">
        <f>IF(Table1[[#This Row],[Discount]]&gt;=15%,"HIGH",IF(Table1[[#This Row],[Discount]]&gt;=55,"MEDIUM","NONE"))</f>
        <v>NONE</v>
      </c>
      <c r="R156" s="9">
        <f>Table1[[#This Row],[Ship Date]]-Table1[[#This Row],[Order Date]]</f>
        <v>2</v>
      </c>
      <c r="S156" s="9">
        <f>VLOOKUP(Table1[[#This Row],[Region]],Table2[],2,FALSE)</f>
        <v>160000</v>
      </c>
      <c r="T156" s="9">
        <f>INDEX(Table2[Quarterly Target],MATCH(Table1[[#This Row],[Region]],Table2[[Region ]],0))</f>
        <v>160000</v>
      </c>
      <c r="U156" s="9">
        <f>RANK(Table1[[#This Row],[Sales]],Table1[Sales])</f>
        <v>383</v>
      </c>
      <c r="V156" s="21">
        <f>SUM(N$2:N157)</f>
        <v>543820.94750000013</v>
      </c>
    </row>
    <row r="157" spans="1:22" x14ac:dyDescent="0.25">
      <c r="A157" s="5" t="s">
        <v>433</v>
      </c>
      <c r="B157" s="6" t="s">
        <v>434</v>
      </c>
      <c r="C157" s="6" t="s">
        <v>435</v>
      </c>
      <c r="D157" s="7" t="s">
        <v>16</v>
      </c>
      <c r="E157" s="7" t="s">
        <v>112</v>
      </c>
      <c r="F157" s="7" t="s">
        <v>18</v>
      </c>
      <c r="G157" s="7" t="s">
        <v>67</v>
      </c>
      <c r="H157" s="7" t="s">
        <v>61</v>
      </c>
      <c r="I157" s="7" t="s">
        <v>72</v>
      </c>
      <c r="J157" s="7">
        <v>4</v>
      </c>
      <c r="K157" s="24">
        <v>41.51</v>
      </c>
      <c r="L157" s="8">
        <v>0.2</v>
      </c>
      <c r="M157" s="20">
        <v>33.07</v>
      </c>
      <c r="N157" s="21">
        <f>(Table1[[#This Row],[Quantity]]*Table1[[#This Row],[Unit Price]])*(1-Table1[[#This Row],[Discount]])</f>
        <v>132.83199999999999</v>
      </c>
      <c r="O157" s="21">
        <f>(Table1[[#This Row],[Unit Price]]-Table1[[#This Row],[Unit Cost]])*Table1[[#This Row],[Quantity]]</f>
        <v>33.759999999999991</v>
      </c>
      <c r="P157" s="9" t="str">
        <f t="shared" si="2"/>
        <v>Standard</v>
      </c>
      <c r="Q157" s="9" t="str">
        <f>IF(Table1[[#This Row],[Discount]]&gt;=15%,"HIGH",IF(Table1[[#This Row],[Discount]]&gt;=55,"MEDIUM","NONE"))</f>
        <v>HIGH</v>
      </c>
      <c r="R157" s="9">
        <f>Table1[[#This Row],[Ship Date]]-Table1[[#This Row],[Order Date]]</f>
        <v>6</v>
      </c>
      <c r="S157" s="9">
        <f>VLOOKUP(Table1[[#This Row],[Region]],Table2[],2,FALSE)</f>
        <v>140000</v>
      </c>
      <c r="T157" s="9">
        <f>INDEX(Table2[Quarterly Target],MATCH(Table1[[#This Row],[Region]],Table2[[Region ]],0))</f>
        <v>140000</v>
      </c>
      <c r="U157" s="9">
        <f>RANK(Table1[[#This Row],[Sales]],Table1[Sales])</f>
        <v>342</v>
      </c>
      <c r="V157" s="21">
        <f>SUM(N$2:N158)</f>
        <v>544621.53150000016</v>
      </c>
    </row>
    <row r="158" spans="1:22" x14ac:dyDescent="0.25">
      <c r="A158" s="5" t="s">
        <v>436</v>
      </c>
      <c r="B158" s="6" t="s">
        <v>191</v>
      </c>
      <c r="C158" s="6" t="s">
        <v>437</v>
      </c>
      <c r="D158" s="7" t="s">
        <v>16</v>
      </c>
      <c r="E158" s="7" t="s">
        <v>133</v>
      </c>
      <c r="F158" s="7" t="s">
        <v>43</v>
      </c>
      <c r="G158" s="7" t="s">
        <v>26</v>
      </c>
      <c r="H158" s="7" t="s">
        <v>61</v>
      </c>
      <c r="I158" s="7" t="s">
        <v>72</v>
      </c>
      <c r="J158" s="7">
        <v>23</v>
      </c>
      <c r="K158" s="24">
        <v>36.64</v>
      </c>
      <c r="L158" s="8">
        <v>0.05</v>
      </c>
      <c r="M158" s="20">
        <v>24.91</v>
      </c>
      <c r="N158" s="21">
        <f>(Table1[[#This Row],[Quantity]]*Table1[[#This Row],[Unit Price]])*(1-Table1[[#This Row],[Discount]])</f>
        <v>800.58399999999995</v>
      </c>
      <c r="O158" s="21">
        <f>(Table1[[#This Row],[Unit Price]]-Table1[[#This Row],[Unit Cost]])*Table1[[#This Row],[Quantity]]</f>
        <v>269.79000000000002</v>
      </c>
      <c r="P158" s="9" t="str">
        <f t="shared" si="2"/>
        <v>Standard</v>
      </c>
      <c r="Q158" s="9" t="str">
        <f>IF(Table1[[#This Row],[Discount]]&gt;=15%,"HIGH",IF(Table1[[#This Row],[Discount]]&gt;=55,"MEDIUM","NONE"))</f>
        <v>NONE</v>
      </c>
      <c r="R158" s="9">
        <f>Table1[[#This Row],[Ship Date]]-Table1[[#This Row],[Order Date]]</f>
        <v>5</v>
      </c>
      <c r="S158" s="9">
        <f>VLOOKUP(Table1[[#This Row],[Region]],Table2[],2,FALSE)</f>
        <v>150000</v>
      </c>
      <c r="T158" s="9">
        <f>INDEX(Table2[Quarterly Target],MATCH(Table1[[#This Row],[Region]],Table2[[Region ]],0))</f>
        <v>150000</v>
      </c>
      <c r="U158" s="9">
        <f>RANK(Table1[[#This Row],[Sales]],Table1[Sales])</f>
        <v>187</v>
      </c>
      <c r="V158" s="21">
        <f>SUM(N$2:N159)</f>
        <v>544832.20350000018</v>
      </c>
    </row>
    <row r="159" spans="1:22" x14ac:dyDescent="0.25">
      <c r="A159" s="5" t="s">
        <v>438</v>
      </c>
      <c r="B159" s="6" t="s">
        <v>427</v>
      </c>
      <c r="C159" s="6" t="s">
        <v>427</v>
      </c>
      <c r="D159" s="7" t="s">
        <v>24</v>
      </c>
      <c r="E159" s="7" t="s">
        <v>112</v>
      </c>
      <c r="F159" s="7" t="s">
        <v>60</v>
      </c>
      <c r="G159" s="7" t="s">
        <v>44</v>
      </c>
      <c r="H159" s="7" t="s">
        <v>33</v>
      </c>
      <c r="I159" s="7" t="s">
        <v>51</v>
      </c>
      <c r="J159" s="7">
        <v>11</v>
      </c>
      <c r="K159" s="24">
        <v>21.28</v>
      </c>
      <c r="L159" s="8">
        <v>0.1</v>
      </c>
      <c r="M159" s="20">
        <v>14.54</v>
      </c>
      <c r="N159" s="21">
        <f>(Table1[[#This Row],[Quantity]]*Table1[[#This Row],[Unit Price]])*(1-Table1[[#This Row],[Discount]])</f>
        <v>210.67200000000003</v>
      </c>
      <c r="O159" s="21">
        <f>(Table1[[#This Row],[Unit Price]]-Table1[[#This Row],[Unit Cost]])*Table1[[#This Row],[Quantity]]</f>
        <v>74.140000000000015</v>
      </c>
      <c r="P159" s="9" t="str">
        <f t="shared" si="2"/>
        <v>Bulk</v>
      </c>
      <c r="Q159" s="9" t="str">
        <f>IF(Table1[[#This Row],[Discount]]&gt;=15%,"HIGH",IF(Table1[[#This Row],[Discount]]&gt;=55,"MEDIUM","NONE"))</f>
        <v>NONE</v>
      </c>
      <c r="R159" s="9">
        <f>Table1[[#This Row],[Ship Date]]-Table1[[#This Row],[Order Date]]</f>
        <v>0</v>
      </c>
      <c r="S159" s="9">
        <f>VLOOKUP(Table1[[#This Row],[Region]],Table2[],2,FALSE)</f>
        <v>160000</v>
      </c>
      <c r="T159" s="9">
        <f>INDEX(Table2[Quarterly Target],MATCH(Table1[[#This Row],[Region]],Table2[[Region ]],0))</f>
        <v>160000</v>
      </c>
      <c r="U159" s="9">
        <f>RANK(Table1[[#This Row],[Sales]],Table1[Sales])</f>
        <v>306</v>
      </c>
      <c r="V159" s="21">
        <f>SUM(N$2:N160)</f>
        <v>545368.54050000024</v>
      </c>
    </row>
    <row r="160" spans="1:22" x14ac:dyDescent="0.25">
      <c r="A160" s="5" t="s">
        <v>439</v>
      </c>
      <c r="B160" s="6" t="s">
        <v>440</v>
      </c>
      <c r="C160" s="6" t="s">
        <v>440</v>
      </c>
      <c r="D160" s="7" t="s">
        <v>24</v>
      </c>
      <c r="E160" s="7" t="s">
        <v>31</v>
      </c>
      <c r="F160" s="7" t="s">
        <v>43</v>
      </c>
      <c r="G160" s="7" t="s">
        <v>44</v>
      </c>
      <c r="H160" s="7" t="s">
        <v>33</v>
      </c>
      <c r="I160" s="7" t="s">
        <v>39</v>
      </c>
      <c r="J160" s="7">
        <v>23</v>
      </c>
      <c r="K160" s="24">
        <v>25.91</v>
      </c>
      <c r="L160" s="8">
        <v>0.1</v>
      </c>
      <c r="M160" s="20">
        <v>17.32</v>
      </c>
      <c r="N160" s="21">
        <f>(Table1[[#This Row],[Quantity]]*Table1[[#This Row],[Unit Price]])*(1-Table1[[#This Row],[Discount]])</f>
        <v>536.33699999999999</v>
      </c>
      <c r="O160" s="21">
        <f>(Table1[[#This Row],[Unit Price]]-Table1[[#This Row],[Unit Cost]])*Table1[[#This Row],[Quantity]]</f>
        <v>197.57</v>
      </c>
      <c r="P160" s="9" t="str">
        <f t="shared" si="2"/>
        <v>Bulk</v>
      </c>
      <c r="Q160" s="9" t="str">
        <f>IF(Table1[[#This Row],[Discount]]&gt;=15%,"HIGH",IF(Table1[[#This Row],[Discount]]&gt;=55,"MEDIUM","NONE"))</f>
        <v>NONE</v>
      </c>
      <c r="R160" s="9">
        <f>Table1[[#This Row],[Ship Date]]-Table1[[#This Row],[Order Date]]</f>
        <v>0</v>
      </c>
      <c r="S160" s="9">
        <f>VLOOKUP(Table1[[#This Row],[Region]],Table2[],2,FALSE)</f>
        <v>150000</v>
      </c>
      <c r="T160" s="9">
        <f>INDEX(Table2[Quarterly Target],MATCH(Table1[[#This Row],[Region]],Table2[[Region ]],0))</f>
        <v>150000</v>
      </c>
      <c r="U160" s="9">
        <f>RANK(Table1[[#This Row],[Sales]],Table1[Sales])</f>
        <v>219</v>
      </c>
      <c r="V160" s="21">
        <f>SUM(N$2:N161)</f>
        <v>545950.26450000028</v>
      </c>
    </row>
    <row r="161" spans="1:22" x14ac:dyDescent="0.25">
      <c r="A161" s="5" t="s">
        <v>441</v>
      </c>
      <c r="B161" s="6" t="s">
        <v>42</v>
      </c>
      <c r="C161" s="6" t="s">
        <v>442</v>
      </c>
      <c r="D161" s="7" t="s">
        <v>16</v>
      </c>
      <c r="E161" s="7" t="s">
        <v>112</v>
      </c>
      <c r="F161" s="7" t="s">
        <v>38</v>
      </c>
      <c r="G161" s="7" t="s">
        <v>97</v>
      </c>
      <c r="H161" s="7" t="s">
        <v>61</v>
      </c>
      <c r="I161" s="7" t="s">
        <v>88</v>
      </c>
      <c r="J161" s="7">
        <v>22</v>
      </c>
      <c r="K161" s="24">
        <v>29.38</v>
      </c>
      <c r="L161" s="8">
        <v>0.1</v>
      </c>
      <c r="M161" s="20">
        <v>23.12</v>
      </c>
      <c r="N161" s="21">
        <f>(Table1[[#This Row],[Quantity]]*Table1[[#This Row],[Unit Price]])*(1-Table1[[#This Row],[Discount]])</f>
        <v>581.72400000000005</v>
      </c>
      <c r="O161" s="21">
        <f>(Table1[[#This Row],[Unit Price]]-Table1[[#This Row],[Unit Cost]])*Table1[[#This Row],[Quantity]]</f>
        <v>137.71999999999997</v>
      </c>
      <c r="P161" s="9" t="str">
        <f t="shared" si="2"/>
        <v>Bulk</v>
      </c>
      <c r="Q161" s="9" t="str">
        <f>IF(Table1[[#This Row],[Discount]]&gt;=15%,"HIGH",IF(Table1[[#This Row],[Discount]]&gt;=55,"MEDIUM","NONE"))</f>
        <v>NONE</v>
      </c>
      <c r="R161" s="9">
        <f>Table1[[#This Row],[Ship Date]]-Table1[[#This Row],[Order Date]]</f>
        <v>4</v>
      </c>
      <c r="S161" s="9">
        <f>VLOOKUP(Table1[[#This Row],[Region]],Table2[],2,FALSE)</f>
        <v>120000</v>
      </c>
      <c r="T161" s="9">
        <f>INDEX(Table2[Quarterly Target],MATCH(Table1[[#This Row],[Region]],Table2[[Region ]],0))</f>
        <v>120000</v>
      </c>
      <c r="U161" s="9">
        <f>RANK(Table1[[#This Row],[Sales]],Table1[Sales])</f>
        <v>217</v>
      </c>
      <c r="V161" s="21">
        <f>SUM(N$2:N162)</f>
        <v>546190.11250000028</v>
      </c>
    </row>
    <row r="162" spans="1:22" x14ac:dyDescent="0.25">
      <c r="A162" s="5" t="s">
        <v>443</v>
      </c>
      <c r="B162" s="6" t="s">
        <v>301</v>
      </c>
      <c r="C162" s="6" t="s">
        <v>301</v>
      </c>
      <c r="D162" s="7" t="s">
        <v>24</v>
      </c>
      <c r="E162" s="7" t="s">
        <v>59</v>
      </c>
      <c r="F162" s="7" t="s">
        <v>60</v>
      </c>
      <c r="G162" s="7" t="s">
        <v>97</v>
      </c>
      <c r="H162" s="7" t="s">
        <v>61</v>
      </c>
      <c r="I162" s="7" t="s">
        <v>169</v>
      </c>
      <c r="J162" s="7">
        <v>7</v>
      </c>
      <c r="K162" s="24">
        <v>42.83</v>
      </c>
      <c r="L162" s="8">
        <v>0.2</v>
      </c>
      <c r="M162" s="20">
        <v>30.1</v>
      </c>
      <c r="N162" s="21">
        <f>(Table1[[#This Row],[Quantity]]*Table1[[#This Row],[Unit Price]])*(1-Table1[[#This Row],[Discount]])</f>
        <v>239.84800000000001</v>
      </c>
      <c r="O162" s="21">
        <f>(Table1[[#This Row],[Unit Price]]-Table1[[#This Row],[Unit Cost]])*Table1[[#This Row],[Quantity]]</f>
        <v>89.109999999999985</v>
      </c>
      <c r="P162" s="9" t="str">
        <f t="shared" si="2"/>
        <v>Bulk</v>
      </c>
      <c r="Q162" s="9" t="str">
        <f>IF(Table1[[#This Row],[Discount]]&gt;=15%,"HIGH",IF(Table1[[#This Row],[Discount]]&gt;=55,"MEDIUM","NONE"))</f>
        <v>HIGH</v>
      </c>
      <c r="R162" s="9">
        <f>Table1[[#This Row],[Ship Date]]-Table1[[#This Row],[Order Date]]</f>
        <v>0</v>
      </c>
      <c r="S162" s="9">
        <f>VLOOKUP(Table1[[#This Row],[Region]],Table2[],2,FALSE)</f>
        <v>160000</v>
      </c>
      <c r="T162" s="9">
        <f>INDEX(Table2[Quarterly Target],MATCH(Table1[[#This Row],[Region]],Table2[[Region ]],0))</f>
        <v>160000</v>
      </c>
      <c r="U162" s="9">
        <f>RANK(Table1[[#This Row],[Sales]],Table1[Sales])</f>
        <v>296</v>
      </c>
      <c r="V162" s="21">
        <f>SUM(N$2:N163)</f>
        <v>553371.71250000026</v>
      </c>
    </row>
    <row r="163" spans="1:22" x14ac:dyDescent="0.25">
      <c r="A163" s="5" t="s">
        <v>444</v>
      </c>
      <c r="B163" s="6" t="s">
        <v>445</v>
      </c>
      <c r="C163" s="6" t="s">
        <v>445</v>
      </c>
      <c r="D163" s="7" t="s">
        <v>24</v>
      </c>
      <c r="E163" s="7" t="s">
        <v>122</v>
      </c>
      <c r="F163" s="7" t="s">
        <v>25</v>
      </c>
      <c r="G163" s="7" t="s">
        <v>32</v>
      </c>
      <c r="H163" s="7" t="s">
        <v>45</v>
      </c>
      <c r="I163" s="7" t="s">
        <v>83</v>
      </c>
      <c r="J163" s="7">
        <v>16</v>
      </c>
      <c r="K163" s="24">
        <v>448.85</v>
      </c>
      <c r="L163" s="8">
        <v>0</v>
      </c>
      <c r="M163" s="20">
        <v>354.22</v>
      </c>
      <c r="N163" s="21">
        <f>(Table1[[#This Row],[Quantity]]*Table1[[#This Row],[Unit Price]])*(1-Table1[[#This Row],[Discount]])</f>
        <v>7181.6</v>
      </c>
      <c r="O163" s="21">
        <f>(Table1[[#This Row],[Unit Price]]-Table1[[#This Row],[Unit Cost]])*Table1[[#This Row],[Quantity]]</f>
        <v>1514.08</v>
      </c>
      <c r="P163" s="9" t="str">
        <f t="shared" si="2"/>
        <v>Standard</v>
      </c>
      <c r="Q163" s="9" t="str">
        <f>IF(Table1[[#This Row],[Discount]]&gt;=15%,"HIGH",IF(Table1[[#This Row],[Discount]]&gt;=55,"MEDIUM","NONE"))</f>
        <v>NONE</v>
      </c>
      <c r="R163" s="9">
        <f>Table1[[#This Row],[Ship Date]]-Table1[[#This Row],[Order Date]]</f>
        <v>0</v>
      </c>
      <c r="S163" s="9">
        <f>VLOOKUP(Table1[[#This Row],[Region]],Table2[],2,FALSE)</f>
        <v>130000</v>
      </c>
      <c r="T163" s="9">
        <f>INDEX(Table2[Quarterly Target],MATCH(Table1[[#This Row],[Region]],Table2[[Region ]],0))</f>
        <v>130000</v>
      </c>
      <c r="U163" s="9">
        <f>RANK(Table1[[#This Row],[Sales]],Table1[Sales])</f>
        <v>68</v>
      </c>
      <c r="V163" s="21">
        <f>SUM(N$2:N164)</f>
        <v>553580.60250000027</v>
      </c>
    </row>
    <row r="164" spans="1:22" x14ac:dyDescent="0.25">
      <c r="A164" s="5" t="s">
        <v>446</v>
      </c>
      <c r="B164" s="6" t="s">
        <v>447</v>
      </c>
      <c r="C164" s="6" t="s">
        <v>247</v>
      </c>
      <c r="D164" s="7" t="s">
        <v>16</v>
      </c>
      <c r="E164" s="7" t="s">
        <v>66</v>
      </c>
      <c r="F164" s="7" t="s">
        <v>38</v>
      </c>
      <c r="G164" s="7" t="s">
        <v>19</v>
      </c>
      <c r="H164" s="7" t="s">
        <v>33</v>
      </c>
      <c r="I164" s="7" t="s">
        <v>39</v>
      </c>
      <c r="J164" s="7">
        <v>9</v>
      </c>
      <c r="K164" s="24">
        <v>23.21</v>
      </c>
      <c r="L164" s="8">
        <v>0</v>
      </c>
      <c r="M164" s="20">
        <v>18.23</v>
      </c>
      <c r="N164" s="21">
        <f>(Table1[[#This Row],[Quantity]]*Table1[[#This Row],[Unit Price]])*(1-Table1[[#This Row],[Discount]])</f>
        <v>208.89000000000001</v>
      </c>
      <c r="O164" s="21">
        <f>(Table1[[#This Row],[Unit Price]]-Table1[[#This Row],[Unit Cost]])*Table1[[#This Row],[Quantity]]</f>
        <v>44.820000000000007</v>
      </c>
      <c r="P164" s="9" t="str">
        <f t="shared" si="2"/>
        <v>Bulk</v>
      </c>
      <c r="Q164" s="9" t="str">
        <f>IF(Table1[[#This Row],[Discount]]&gt;=15%,"HIGH",IF(Table1[[#This Row],[Discount]]&gt;=55,"MEDIUM","NONE"))</f>
        <v>NONE</v>
      </c>
      <c r="R164" s="9">
        <f>Table1[[#This Row],[Ship Date]]-Table1[[#This Row],[Order Date]]</f>
        <v>6</v>
      </c>
      <c r="S164" s="9">
        <f>VLOOKUP(Table1[[#This Row],[Region]],Table2[],2,FALSE)</f>
        <v>120000</v>
      </c>
      <c r="T164" s="9">
        <f>INDEX(Table2[Quarterly Target],MATCH(Table1[[#This Row],[Region]],Table2[[Region ]],0))</f>
        <v>120000</v>
      </c>
      <c r="U164" s="9">
        <f>RANK(Table1[[#This Row],[Sales]],Table1[Sales])</f>
        <v>309</v>
      </c>
      <c r="V164" s="21">
        <f>SUM(N$2:N165)</f>
        <v>559877.24250000028</v>
      </c>
    </row>
    <row r="165" spans="1:22" x14ac:dyDescent="0.25">
      <c r="A165" s="5" t="s">
        <v>448</v>
      </c>
      <c r="B165" s="6" t="s">
        <v>449</v>
      </c>
      <c r="C165" s="6" t="s">
        <v>449</v>
      </c>
      <c r="D165" s="7" t="s">
        <v>24</v>
      </c>
      <c r="E165" s="7" t="s">
        <v>66</v>
      </c>
      <c r="F165" s="7" t="s">
        <v>18</v>
      </c>
      <c r="G165" s="7" t="s">
        <v>32</v>
      </c>
      <c r="H165" s="7" t="s">
        <v>45</v>
      </c>
      <c r="I165" s="7" t="s">
        <v>143</v>
      </c>
      <c r="J165" s="7">
        <v>24</v>
      </c>
      <c r="K165" s="24">
        <v>262.36</v>
      </c>
      <c r="L165" s="8">
        <v>0</v>
      </c>
      <c r="M165" s="20">
        <v>181.91</v>
      </c>
      <c r="N165" s="21">
        <f>(Table1[[#This Row],[Quantity]]*Table1[[#This Row],[Unit Price]])*(1-Table1[[#This Row],[Discount]])</f>
        <v>6296.64</v>
      </c>
      <c r="O165" s="21">
        <f>(Table1[[#This Row],[Unit Price]]-Table1[[#This Row],[Unit Cost]])*Table1[[#This Row],[Quantity]]</f>
        <v>1930.8000000000004</v>
      </c>
      <c r="P165" s="9" t="str">
        <f t="shared" si="2"/>
        <v>Standard</v>
      </c>
      <c r="Q165" s="9" t="str">
        <f>IF(Table1[[#This Row],[Discount]]&gt;=15%,"HIGH",IF(Table1[[#This Row],[Discount]]&gt;=55,"MEDIUM","NONE"))</f>
        <v>NONE</v>
      </c>
      <c r="R165" s="9">
        <f>Table1[[#This Row],[Ship Date]]-Table1[[#This Row],[Order Date]]</f>
        <v>0</v>
      </c>
      <c r="S165" s="9">
        <f>VLOOKUP(Table1[[#This Row],[Region]],Table2[],2,FALSE)</f>
        <v>140000</v>
      </c>
      <c r="T165" s="9">
        <f>INDEX(Table2[Quarterly Target],MATCH(Table1[[#This Row],[Region]],Table2[[Region ]],0))</f>
        <v>140000</v>
      </c>
      <c r="U165" s="9">
        <f>RANK(Table1[[#This Row],[Sales]],Table1[Sales])</f>
        <v>82</v>
      </c>
      <c r="V165" s="21">
        <f>SUM(N$2:N166)</f>
        <v>566831.34750000027</v>
      </c>
    </row>
    <row r="166" spans="1:22" x14ac:dyDescent="0.25">
      <c r="A166" s="5" t="s">
        <v>450</v>
      </c>
      <c r="B166" s="6" t="s">
        <v>327</v>
      </c>
      <c r="C166" s="6" t="s">
        <v>451</v>
      </c>
      <c r="D166" s="7" t="s">
        <v>30</v>
      </c>
      <c r="E166" s="7" t="s">
        <v>214</v>
      </c>
      <c r="F166" s="7" t="s">
        <v>43</v>
      </c>
      <c r="G166" s="7" t="s">
        <v>67</v>
      </c>
      <c r="H166" s="7" t="s">
        <v>45</v>
      </c>
      <c r="I166" s="7" t="s">
        <v>148</v>
      </c>
      <c r="J166" s="7">
        <v>15</v>
      </c>
      <c r="K166" s="24">
        <v>545.41999999999996</v>
      </c>
      <c r="L166" s="8">
        <v>0.15</v>
      </c>
      <c r="M166" s="20">
        <v>365.31</v>
      </c>
      <c r="N166" s="21">
        <f>(Table1[[#This Row],[Quantity]]*Table1[[#This Row],[Unit Price]])*(1-Table1[[#This Row],[Discount]])</f>
        <v>6954.1049999999996</v>
      </c>
      <c r="O166" s="21">
        <f>(Table1[[#This Row],[Unit Price]]-Table1[[#This Row],[Unit Cost]])*Table1[[#This Row],[Quantity]]</f>
        <v>2701.6499999999992</v>
      </c>
      <c r="P166" s="9" t="str">
        <f t="shared" si="2"/>
        <v>Bulk</v>
      </c>
      <c r="Q166" s="9" t="str">
        <f>IF(Table1[[#This Row],[Discount]]&gt;=15%,"HIGH",IF(Table1[[#This Row],[Discount]]&gt;=55,"MEDIUM","NONE"))</f>
        <v>HIGH</v>
      </c>
      <c r="R166" s="9">
        <f>Table1[[#This Row],[Ship Date]]-Table1[[#This Row],[Order Date]]</f>
        <v>3</v>
      </c>
      <c r="S166" s="9">
        <f>VLOOKUP(Table1[[#This Row],[Region]],Table2[],2,FALSE)</f>
        <v>150000</v>
      </c>
      <c r="T166" s="9">
        <f>INDEX(Table2[Quarterly Target],MATCH(Table1[[#This Row],[Region]],Table2[[Region ]],0))</f>
        <v>150000</v>
      </c>
      <c r="U166" s="9">
        <f>RANK(Table1[[#This Row],[Sales]],Table1[Sales])</f>
        <v>73</v>
      </c>
      <c r="V166" s="21">
        <f>SUM(N$2:N167)</f>
        <v>566880.7575000003</v>
      </c>
    </row>
    <row r="167" spans="1:22" x14ac:dyDescent="0.25">
      <c r="A167" s="5" t="s">
        <v>452</v>
      </c>
      <c r="B167" s="6" t="s">
        <v>453</v>
      </c>
      <c r="C167" s="6" t="s">
        <v>397</v>
      </c>
      <c r="D167" s="7" t="s">
        <v>16</v>
      </c>
      <c r="E167" s="7" t="s">
        <v>112</v>
      </c>
      <c r="F167" s="7" t="s">
        <v>43</v>
      </c>
      <c r="G167" s="7" t="s">
        <v>19</v>
      </c>
      <c r="H167" s="7" t="s">
        <v>33</v>
      </c>
      <c r="I167" s="7" t="s">
        <v>51</v>
      </c>
      <c r="J167" s="7">
        <v>2</v>
      </c>
      <c r="K167" s="24">
        <v>27.45</v>
      </c>
      <c r="L167" s="8">
        <v>0.1</v>
      </c>
      <c r="M167" s="20">
        <v>16.649999999999999</v>
      </c>
      <c r="N167" s="21">
        <f>(Table1[[#This Row],[Quantity]]*Table1[[#This Row],[Unit Price]])*(1-Table1[[#This Row],[Discount]])</f>
        <v>49.41</v>
      </c>
      <c r="O167" s="21">
        <f>(Table1[[#This Row],[Unit Price]]-Table1[[#This Row],[Unit Cost]])*Table1[[#This Row],[Quantity]]</f>
        <v>21.6</v>
      </c>
      <c r="P167" s="9" t="str">
        <f t="shared" si="2"/>
        <v>Bulk</v>
      </c>
      <c r="Q167" s="9" t="str">
        <f>IF(Table1[[#This Row],[Discount]]&gt;=15%,"HIGH",IF(Table1[[#This Row],[Discount]]&gt;=55,"MEDIUM","NONE"))</f>
        <v>NONE</v>
      </c>
      <c r="R167" s="9">
        <f>Table1[[#This Row],[Ship Date]]-Table1[[#This Row],[Order Date]]</f>
        <v>5</v>
      </c>
      <c r="S167" s="9">
        <f>VLOOKUP(Table1[[#This Row],[Region]],Table2[],2,FALSE)</f>
        <v>150000</v>
      </c>
      <c r="T167" s="9">
        <f>INDEX(Table2[Quarterly Target],MATCH(Table1[[#This Row],[Region]],Table2[[Region ]],0))</f>
        <v>150000</v>
      </c>
      <c r="U167" s="9">
        <f>RANK(Table1[[#This Row],[Sales]],Table1[Sales])</f>
        <v>381</v>
      </c>
      <c r="V167" s="21">
        <f>SUM(N$2:N168)</f>
        <v>568468.89750000031</v>
      </c>
    </row>
    <row r="168" spans="1:22" x14ac:dyDescent="0.25">
      <c r="A168" s="5" t="s">
        <v>454</v>
      </c>
      <c r="B168" s="6" t="s">
        <v>261</v>
      </c>
      <c r="C168" s="6" t="s">
        <v>455</v>
      </c>
      <c r="D168" s="7" t="s">
        <v>16</v>
      </c>
      <c r="E168" s="7" t="s">
        <v>96</v>
      </c>
      <c r="F168" s="7" t="s">
        <v>60</v>
      </c>
      <c r="G168" s="7" t="s">
        <v>50</v>
      </c>
      <c r="H168" s="7" t="s">
        <v>61</v>
      </c>
      <c r="I168" s="7" t="s">
        <v>169</v>
      </c>
      <c r="J168" s="7">
        <v>18</v>
      </c>
      <c r="K168" s="24">
        <v>88.23</v>
      </c>
      <c r="L168" s="8">
        <v>0</v>
      </c>
      <c r="M168" s="20">
        <v>57.5</v>
      </c>
      <c r="N168" s="21">
        <f>(Table1[[#This Row],[Quantity]]*Table1[[#This Row],[Unit Price]])*(1-Table1[[#This Row],[Discount]])</f>
        <v>1588.14</v>
      </c>
      <c r="O168" s="21">
        <f>(Table1[[#This Row],[Unit Price]]-Table1[[#This Row],[Unit Cost]])*Table1[[#This Row],[Quantity]]</f>
        <v>553.1400000000001</v>
      </c>
      <c r="P168" s="9" t="str">
        <f t="shared" si="2"/>
        <v>Standard</v>
      </c>
      <c r="Q168" s="9" t="str">
        <f>IF(Table1[[#This Row],[Discount]]&gt;=15%,"HIGH",IF(Table1[[#This Row],[Discount]]&gt;=55,"MEDIUM","NONE"))</f>
        <v>NONE</v>
      </c>
      <c r="R168" s="9">
        <f>Table1[[#This Row],[Ship Date]]-Table1[[#This Row],[Order Date]]</f>
        <v>7</v>
      </c>
      <c r="S168" s="9">
        <f>VLOOKUP(Table1[[#This Row],[Region]],Table2[],2,FALSE)</f>
        <v>160000</v>
      </c>
      <c r="T168" s="9">
        <f>INDEX(Table2[Quarterly Target],MATCH(Table1[[#This Row],[Region]],Table2[[Region ]],0))</f>
        <v>160000</v>
      </c>
      <c r="U168" s="9">
        <f>RANK(Table1[[#This Row],[Sales]],Table1[Sales])</f>
        <v>144</v>
      </c>
      <c r="V168" s="21">
        <f>SUM(N$2:N169)</f>
        <v>577632.75150000036</v>
      </c>
    </row>
    <row r="169" spans="1:22" x14ac:dyDescent="0.25">
      <c r="A169" s="5" t="s">
        <v>456</v>
      </c>
      <c r="B169" s="6" t="s">
        <v>457</v>
      </c>
      <c r="C169" s="6" t="s">
        <v>458</v>
      </c>
      <c r="D169" s="7" t="s">
        <v>16</v>
      </c>
      <c r="E169" s="7" t="s">
        <v>214</v>
      </c>
      <c r="F169" s="7" t="s">
        <v>18</v>
      </c>
      <c r="G169" s="7" t="s">
        <v>26</v>
      </c>
      <c r="H169" s="7" t="s">
        <v>45</v>
      </c>
      <c r="I169" s="7" t="s">
        <v>148</v>
      </c>
      <c r="J169" s="7">
        <v>21</v>
      </c>
      <c r="K169" s="24">
        <v>484.86</v>
      </c>
      <c r="L169" s="8">
        <v>0.1</v>
      </c>
      <c r="M169" s="20">
        <v>356.21</v>
      </c>
      <c r="N169" s="21">
        <f>(Table1[[#This Row],[Quantity]]*Table1[[#This Row],[Unit Price]])*(1-Table1[[#This Row],[Discount]])</f>
        <v>9163.8539999999994</v>
      </c>
      <c r="O169" s="21">
        <f>(Table1[[#This Row],[Unit Price]]-Table1[[#This Row],[Unit Cost]])*Table1[[#This Row],[Quantity]]</f>
        <v>2701.6500000000005</v>
      </c>
      <c r="P169" s="9" t="str">
        <f t="shared" si="2"/>
        <v>Bulk</v>
      </c>
      <c r="Q169" s="9" t="str">
        <f>IF(Table1[[#This Row],[Discount]]&gt;=15%,"HIGH",IF(Table1[[#This Row],[Discount]]&gt;=55,"MEDIUM","NONE"))</f>
        <v>NONE</v>
      </c>
      <c r="R169" s="9">
        <f>Table1[[#This Row],[Ship Date]]-Table1[[#This Row],[Order Date]]</f>
        <v>4</v>
      </c>
      <c r="S169" s="9">
        <f>VLOOKUP(Table1[[#This Row],[Region]],Table2[],2,FALSE)</f>
        <v>140000</v>
      </c>
      <c r="T169" s="9">
        <f>INDEX(Table2[Quarterly Target],MATCH(Table1[[#This Row],[Region]],Table2[[Region ]],0))</f>
        <v>140000</v>
      </c>
      <c r="U169" s="9">
        <f>RANK(Table1[[#This Row],[Sales]],Table1[Sales])</f>
        <v>48</v>
      </c>
      <c r="V169" s="21">
        <f>SUM(N$2:N170)</f>
        <v>584720.65150000039</v>
      </c>
    </row>
    <row r="170" spans="1:22" x14ac:dyDescent="0.25">
      <c r="A170" s="5" t="s">
        <v>459</v>
      </c>
      <c r="B170" s="6" t="s">
        <v>251</v>
      </c>
      <c r="C170" s="6" t="s">
        <v>251</v>
      </c>
      <c r="D170" s="7" t="s">
        <v>24</v>
      </c>
      <c r="E170" s="7" t="s">
        <v>66</v>
      </c>
      <c r="F170" s="7" t="s">
        <v>60</v>
      </c>
      <c r="G170" s="7" t="s">
        <v>50</v>
      </c>
      <c r="H170" s="7" t="s">
        <v>45</v>
      </c>
      <c r="I170" s="7" t="s">
        <v>46</v>
      </c>
      <c r="J170" s="7">
        <v>10</v>
      </c>
      <c r="K170" s="24">
        <v>708.79</v>
      </c>
      <c r="L170" s="8">
        <v>0</v>
      </c>
      <c r="M170" s="20">
        <v>442.71</v>
      </c>
      <c r="N170" s="21">
        <f>(Table1[[#This Row],[Quantity]]*Table1[[#This Row],[Unit Price]])*(1-Table1[[#This Row],[Discount]])</f>
        <v>7087.9</v>
      </c>
      <c r="O170" s="21">
        <f>(Table1[[#This Row],[Unit Price]]-Table1[[#This Row],[Unit Cost]])*Table1[[#This Row],[Quantity]]</f>
        <v>2660.7999999999997</v>
      </c>
      <c r="P170" s="9" t="str">
        <f t="shared" si="2"/>
        <v>Bulk</v>
      </c>
      <c r="Q170" s="9" t="str">
        <f>IF(Table1[[#This Row],[Discount]]&gt;=15%,"HIGH",IF(Table1[[#This Row],[Discount]]&gt;=55,"MEDIUM","NONE"))</f>
        <v>NONE</v>
      </c>
      <c r="R170" s="9">
        <f>Table1[[#This Row],[Ship Date]]-Table1[[#This Row],[Order Date]]</f>
        <v>0</v>
      </c>
      <c r="S170" s="9">
        <f>VLOOKUP(Table1[[#This Row],[Region]],Table2[],2,FALSE)</f>
        <v>160000</v>
      </c>
      <c r="T170" s="9">
        <f>INDEX(Table2[Quarterly Target],MATCH(Table1[[#This Row],[Region]],Table2[[Region ]],0))</f>
        <v>160000</v>
      </c>
      <c r="U170" s="9">
        <f>RANK(Table1[[#This Row],[Sales]],Table1[Sales])</f>
        <v>71</v>
      </c>
      <c r="V170" s="21">
        <f>SUM(N$2:N171)</f>
        <v>585102.61150000035</v>
      </c>
    </row>
    <row r="171" spans="1:22" x14ac:dyDescent="0.25">
      <c r="A171" s="5" t="s">
        <v>460</v>
      </c>
      <c r="B171" s="6" t="s">
        <v>461</v>
      </c>
      <c r="C171" s="6" t="s">
        <v>461</v>
      </c>
      <c r="D171" s="7" t="s">
        <v>24</v>
      </c>
      <c r="E171" s="7" t="s">
        <v>66</v>
      </c>
      <c r="F171" s="7" t="s">
        <v>38</v>
      </c>
      <c r="G171" s="7" t="s">
        <v>50</v>
      </c>
      <c r="H171" s="7" t="s">
        <v>61</v>
      </c>
      <c r="I171" s="7" t="s">
        <v>72</v>
      </c>
      <c r="J171" s="7">
        <v>15</v>
      </c>
      <c r="K171" s="24">
        <v>31.83</v>
      </c>
      <c r="L171" s="8">
        <v>0.2</v>
      </c>
      <c r="M171" s="20">
        <v>18.399999999999999</v>
      </c>
      <c r="N171" s="21">
        <f>(Table1[[#This Row],[Quantity]]*Table1[[#This Row],[Unit Price]])*(1-Table1[[#This Row],[Discount]])</f>
        <v>381.96000000000004</v>
      </c>
      <c r="O171" s="21">
        <f>(Table1[[#This Row],[Unit Price]]-Table1[[#This Row],[Unit Cost]])*Table1[[#This Row],[Quantity]]</f>
        <v>201.45</v>
      </c>
      <c r="P171" s="9" t="str">
        <f t="shared" si="2"/>
        <v>Standard</v>
      </c>
      <c r="Q171" s="9" t="str">
        <f>IF(Table1[[#This Row],[Discount]]&gt;=15%,"HIGH",IF(Table1[[#This Row],[Discount]]&gt;=55,"MEDIUM","NONE"))</f>
        <v>HIGH</v>
      </c>
      <c r="R171" s="9">
        <f>Table1[[#This Row],[Ship Date]]-Table1[[#This Row],[Order Date]]</f>
        <v>0</v>
      </c>
      <c r="S171" s="9">
        <f>VLOOKUP(Table1[[#This Row],[Region]],Table2[],2,FALSE)</f>
        <v>120000</v>
      </c>
      <c r="T171" s="9">
        <f>INDEX(Table2[Quarterly Target],MATCH(Table1[[#This Row],[Region]],Table2[[Region ]],0))</f>
        <v>120000</v>
      </c>
      <c r="U171" s="9">
        <f>RANK(Table1[[#This Row],[Sales]],Table1[Sales])</f>
        <v>250</v>
      </c>
      <c r="V171" s="21">
        <f>SUM(N$2:N172)</f>
        <v>585779.77150000038</v>
      </c>
    </row>
    <row r="172" spans="1:22" x14ac:dyDescent="0.25">
      <c r="A172" s="5" t="s">
        <v>462</v>
      </c>
      <c r="B172" s="6" t="s">
        <v>463</v>
      </c>
      <c r="C172" s="6" t="s">
        <v>463</v>
      </c>
      <c r="D172" s="7" t="s">
        <v>24</v>
      </c>
      <c r="E172" s="7" t="s">
        <v>117</v>
      </c>
      <c r="F172" s="7" t="s">
        <v>43</v>
      </c>
      <c r="G172" s="7" t="s">
        <v>44</v>
      </c>
      <c r="H172" s="7" t="s">
        <v>33</v>
      </c>
      <c r="I172" s="7" t="s">
        <v>51</v>
      </c>
      <c r="J172" s="7">
        <v>22</v>
      </c>
      <c r="K172" s="24">
        <v>30.78</v>
      </c>
      <c r="L172" s="8">
        <v>0</v>
      </c>
      <c r="M172" s="20">
        <v>21.63</v>
      </c>
      <c r="N172" s="21">
        <f>(Table1[[#This Row],[Quantity]]*Table1[[#This Row],[Unit Price]])*(1-Table1[[#This Row],[Discount]])</f>
        <v>677.16000000000008</v>
      </c>
      <c r="O172" s="21">
        <f>(Table1[[#This Row],[Unit Price]]-Table1[[#This Row],[Unit Cost]])*Table1[[#This Row],[Quantity]]</f>
        <v>201.30000000000004</v>
      </c>
      <c r="P172" s="9" t="str">
        <f t="shared" si="2"/>
        <v>Bulk</v>
      </c>
      <c r="Q172" s="9" t="str">
        <f>IF(Table1[[#This Row],[Discount]]&gt;=15%,"HIGH",IF(Table1[[#This Row],[Discount]]&gt;=55,"MEDIUM","NONE"))</f>
        <v>NONE</v>
      </c>
      <c r="R172" s="9">
        <f>Table1[[#This Row],[Ship Date]]-Table1[[#This Row],[Order Date]]</f>
        <v>0</v>
      </c>
      <c r="S172" s="9">
        <f>VLOOKUP(Table1[[#This Row],[Region]],Table2[],2,FALSE)</f>
        <v>150000</v>
      </c>
      <c r="T172" s="9">
        <f>INDEX(Table2[Quarterly Target],MATCH(Table1[[#This Row],[Region]],Table2[[Region ]],0))</f>
        <v>150000</v>
      </c>
      <c r="U172" s="9">
        <f>RANK(Table1[[#This Row],[Sales]],Table1[Sales])</f>
        <v>205</v>
      </c>
      <c r="V172" s="21">
        <f>SUM(N$2:N173)</f>
        <v>586008.57150000043</v>
      </c>
    </row>
    <row r="173" spans="1:22" x14ac:dyDescent="0.25">
      <c r="A173" s="5" t="s">
        <v>464</v>
      </c>
      <c r="B173" s="6" t="s">
        <v>388</v>
      </c>
      <c r="C173" s="6" t="s">
        <v>465</v>
      </c>
      <c r="D173" s="7" t="s">
        <v>16</v>
      </c>
      <c r="E173" s="7" t="s">
        <v>96</v>
      </c>
      <c r="F173" s="7" t="s">
        <v>60</v>
      </c>
      <c r="G173" s="7" t="s">
        <v>50</v>
      </c>
      <c r="H173" s="7" t="s">
        <v>33</v>
      </c>
      <c r="I173" s="7" t="s">
        <v>34</v>
      </c>
      <c r="J173" s="7">
        <v>16</v>
      </c>
      <c r="K173" s="24">
        <v>14.3</v>
      </c>
      <c r="L173" s="8">
        <v>0</v>
      </c>
      <c r="M173" s="20">
        <v>7.89</v>
      </c>
      <c r="N173" s="21">
        <f>(Table1[[#This Row],[Quantity]]*Table1[[#This Row],[Unit Price]])*(1-Table1[[#This Row],[Discount]])</f>
        <v>228.8</v>
      </c>
      <c r="O173" s="21">
        <f>(Table1[[#This Row],[Unit Price]]-Table1[[#This Row],[Unit Cost]])*Table1[[#This Row],[Quantity]]</f>
        <v>102.56000000000002</v>
      </c>
      <c r="P173" s="9" t="str">
        <f t="shared" si="2"/>
        <v>Bulk</v>
      </c>
      <c r="Q173" s="9" t="str">
        <f>IF(Table1[[#This Row],[Discount]]&gt;=15%,"HIGH",IF(Table1[[#This Row],[Discount]]&gt;=55,"MEDIUM","NONE"))</f>
        <v>NONE</v>
      </c>
      <c r="R173" s="9">
        <f>Table1[[#This Row],[Ship Date]]-Table1[[#This Row],[Order Date]]</f>
        <v>7</v>
      </c>
      <c r="S173" s="9">
        <f>VLOOKUP(Table1[[#This Row],[Region]],Table2[],2,FALSE)</f>
        <v>160000</v>
      </c>
      <c r="T173" s="9">
        <f>INDEX(Table2[Quarterly Target],MATCH(Table1[[#This Row],[Region]],Table2[[Region ]],0))</f>
        <v>160000</v>
      </c>
      <c r="U173" s="9">
        <f>RANK(Table1[[#This Row],[Sales]],Table1[Sales])</f>
        <v>299</v>
      </c>
      <c r="V173" s="21">
        <f>SUM(N$2:N174)</f>
        <v>586337.43150000041</v>
      </c>
    </row>
    <row r="174" spans="1:22" x14ac:dyDescent="0.25">
      <c r="A174" s="5" t="s">
        <v>466</v>
      </c>
      <c r="B174" s="6" t="s">
        <v>256</v>
      </c>
      <c r="C174" s="6" t="s">
        <v>102</v>
      </c>
      <c r="D174" s="7" t="s">
        <v>30</v>
      </c>
      <c r="E174" s="7" t="s">
        <v>109</v>
      </c>
      <c r="F174" s="7" t="s">
        <v>18</v>
      </c>
      <c r="G174" s="7" t="s">
        <v>26</v>
      </c>
      <c r="H174" s="7" t="s">
        <v>33</v>
      </c>
      <c r="I174" s="7" t="s">
        <v>39</v>
      </c>
      <c r="J174" s="7">
        <v>21</v>
      </c>
      <c r="K174" s="24">
        <v>15.66</v>
      </c>
      <c r="L174" s="8">
        <v>0</v>
      </c>
      <c r="M174" s="20">
        <v>8.86</v>
      </c>
      <c r="N174" s="21">
        <f>(Table1[[#This Row],[Quantity]]*Table1[[#This Row],[Unit Price]])*(1-Table1[[#This Row],[Discount]])</f>
        <v>328.86</v>
      </c>
      <c r="O174" s="21">
        <f>(Table1[[#This Row],[Unit Price]]-Table1[[#This Row],[Unit Cost]])*Table1[[#This Row],[Quantity]]</f>
        <v>142.80000000000001</v>
      </c>
      <c r="P174" s="9" t="str">
        <f t="shared" si="2"/>
        <v>Bulk</v>
      </c>
      <c r="Q174" s="9" t="str">
        <f>IF(Table1[[#This Row],[Discount]]&gt;=15%,"HIGH",IF(Table1[[#This Row],[Discount]]&gt;=55,"MEDIUM","NONE"))</f>
        <v>NONE</v>
      </c>
      <c r="R174" s="9">
        <f>Table1[[#This Row],[Ship Date]]-Table1[[#This Row],[Order Date]]</f>
        <v>3</v>
      </c>
      <c r="S174" s="9">
        <f>VLOOKUP(Table1[[#This Row],[Region]],Table2[],2,FALSE)</f>
        <v>140000</v>
      </c>
      <c r="T174" s="9">
        <f>INDEX(Table2[Quarterly Target],MATCH(Table1[[#This Row],[Region]],Table2[[Region ]],0))</f>
        <v>140000</v>
      </c>
      <c r="U174" s="9">
        <f>RANK(Table1[[#This Row],[Sales]],Table1[Sales])</f>
        <v>264</v>
      </c>
      <c r="V174" s="21">
        <f>SUM(N$2:N175)</f>
        <v>589657.23150000046</v>
      </c>
    </row>
    <row r="175" spans="1:22" x14ac:dyDescent="0.25">
      <c r="A175" s="5" t="s">
        <v>467</v>
      </c>
      <c r="B175" s="6" t="s">
        <v>468</v>
      </c>
      <c r="C175" s="6" t="s">
        <v>468</v>
      </c>
      <c r="D175" s="7" t="s">
        <v>24</v>
      </c>
      <c r="E175" s="7" t="s">
        <v>214</v>
      </c>
      <c r="F175" s="7" t="s">
        <v>38</v>
      </c>
      <c r="G175" s="7" t="s">
        <v>67</v>
      </c>
      <c r="H175" s="7" t="s">
        <v>45</v>
      </c>
      <c r="I175" s="7" t="s">
        <v>143</v>
      </c>
      <c r="J175" s="7">
        <v>10</v>
      </c>
      <c r="K175" s="24">
        <v>331.98</v>
      </c>
      <c r="L175" s="8">
        <v>0</v>
      </c>
      <c r="M175" s="20">
        <v>200.78</v>
      </c>
      <c r="N175" s="21">
        <f>(Table1[[#This Row],[Quantity]]*Table1[[#This Row],[Unit Price]])*(1-Table1[[#This Row],[Discount]])</f>
        <v>3319.8</v>
      </c>
      <c r="O175" s="21">
        <f>(Table1[[#This Row],[Unit Price]]-Table1[[#This Row],[Unit Cost]])*Table1[[#This Row],[Quantity]]</f>
        <v>1312.0000000000002</v>
      </c>
      <c r="P175" s="9" t="str">
        <f t="shared" si="2"/>
        <v>Bulk</v>
      </c>
      <c r="Q175" s="9" t="str">
        <f>IF(Table1[[#This Row],[Discount]]&gt;=15%,"HIGH",IF(Table1[[#This Row],[Discount]]&gt;=55,"MEDIUM","NONE"))</f>
        <v>NONE</v>
      </c>
      <c r="R175" s="9">
        <f>Table1[[#This Row],[Ship Date]]-Table1[[#This Row],[Order Date]]</f>
        <v>0</v>
      </c>
      <c r="S175" s="9">
        <f>VLOOKUP(Table1[[#This Row],[Region]],Table2[],2,FALSE)</f>
        <v>120000</v>
      </c>
      <c r="T175" s="9">
        <f>INDEX(Table2[Quarterly Target],MATCH(Table1[[#This Row],[Region]],Table2[[Region ]],0))</f>
        <v>120000</v>
      </c>
      <c r="U175" s="9">
        <f>RANK(Table1[[#This Row],[Sales]],Table1[Sales])</f>
        <v>119</v>
      </c>
      <c r="V175" s="21">
        <f>SUM(N$2:N176)</f>
        <v>590995.71150000044</v>
      </c>
    </row>
    <row r="176" spans="1:22" x14ac:dyDescent="0.25">
      <c r="A176" s="5" t="s">
        <v>469</v>
      </c>
      <c r="B176" s="6" t="s">
        <v>470</v>
      </c>
      <c r="C176" s="6" t="s">
        <v>470</v>
      </c>
      <c r="D176" s="7" t="s">
        <v>24</v>
      </c>
      <c r="E176" s="7" t="s">
        <v>31</v>
      </c>
      <c r="F176" s="7" t="s">
        <v>18</v>
      </c>
      <c r="G176" s="7" t="s">
        <v>82</v>
      </c>
      <c r="H176" s="7" t="s">
        <v>61</v>
      </c>
      <c r="I176" s="7" t="s">
        <v>72</v>
      </c>
      <c r="J176" s="7">
        <v>22</v>
      </c>
      <c r="K176" s="24">
        <v>76.05</v>
      </c>
      <c r="L176" s="8">
        <v>0.2</v>
      </c>
      <c r="M176" s="20">
        <v>46.53</v>
      </c>
      <c r="N176" s="21">
        <f>(Table1[[#This Row],[Quantity]]*Table1[[#This Row],[Unit Price]])*(1-Table1[[#This Row],[Discount]])</f>
        <v>1338.48</v>
      </c>
      <c r="O176" s="21">
        <f>(Table1[[#This Row],[Unit Price]]-Table1[[#This Row],[Unit Cost]])*Table1[[#This Row],[Quantity]]</f>
        <v>649.43999999999994</v>
      </c>
      <c r="P176" s="9" t="str">
        <f t="shared" si="2"/>
        <v>Standard</v>
      </c>
      <c r="Q176" s="9" t="str">
        <f>IF(Table1[[#This Row],[Discount]]&gt;=15%,"HIGH",IF(Table1[[#This Row],[Discount]]&gt;=55,"MEDIUM","NONE"))</f>
        <v>HIGH</v>
      </c>
      <c r="R176" s="9">
        <f>Table1[[#This Row],[Ship Date]]-Table1[[#This Row],[Order Date]]</f>
        <v>0</v>
      </c>
      <c r="S176" s="9">
        <f>VLOOKUP(Table1[[#This Row],[Region]],Table2[],2,FALSE)</f>
        <v>140000</v>
      </c>
      <c r="T176" s="9">
        <f>INDEX(Table2[Quarterly Target],MATCH(Table1[[#This Row],[Region]],Table2[[Region ]],0))</f>
        <v>140000</v>
      </c>
      <c r="U176" s="9">
        <f>RANK(Table1[[#This Row],[Sales]],Table1[Sales])</f>
        <v>157</v>
      </c>
      <c r="V176" s="21">
        <f>SUM(N$2:N177)</f>
        <v>591143.81550000049</v>
      </c>
    </row>
    <row r="177" spans="1:22" x14ac:dyDescent="0.25">
      <c r="A177" s="5" t="s">
        <v>471</v>
      </c>
      <c r="B177" s="6" t="s">
        <v>472</v>
      </c>
      <c r="C177" s="6" t="s">
        <v>472</v>
      </c>
      <c r="D177" s="7" t="s">
        <v>24</v>
      </c>
      <c r="E177" s="7" t="s">
        <v>96</v>
      </c>
      <c r="F177" s="7" t="s">
        <v>38</v>
      </c>
      <c r="G177" s="7" t="s">
        <v>26</v>
      </c>
      <c r="H177" s="7" t="s">
        <v>33</v>
      </c>
      <c r="I177" s="7" t="s">
        <v>34</v>
      </c>
      <c r="J177" s="7">
        <v>17</v>
      </c>
      <c r="K177" s="24">
        <v>9.68</v>
      </c>
      <c r="L177" s="8">
        <v>0.1</v>
      </c>
      <c r="M177" s="20">
        <v>5.69</v>
      </c>
      <c r="N177" s="21">
        <f>(Table1[[#This Row],[Quantity]]*Table1[[#This Row],[Unit Price]])*(1-Table1[[#This Row],[Discount]])</f>
        <v>148.10400000000001</v>
      </c>
      <c r="O177" s="21">
        <f>(Table1[[#This Row],[Unit Price]]-Table1[[#This Row],[Unit Cost]])*Table1[[#This Row],[Quantity]]</f>
        <v>67.829999999999984</v>
      </c>
      <c r="P177" s="9" t="str">
        <f t="shared" si="2"/>
        <v>Bulk</v>
      </c>
      <c r="Q177" s="9" t="str">
        <f>IF(Table1[[#This Row],[Discount]]&gt;=15%,"HIGH",IF(Table1[[#This Row],[Discount]]&gt;=55,"MEDIUM","NONE"))</f>
        <v>NONE</v>
      </c>
      <c r="R177" s="9">
        <f>Table1[[#This Row],[Ship Date]]-Table1[[#This Row],[Order Date]]</f>
        <v>0</v>
      </c>
      <c r="S177" s="9">
        <f>VLOOKUP(Table1[[#This Row],[Region]],Table2[],2,FALSE)</f>
        <v>120000</v>
      </c>
      <c r="T177" s="9">
        <f>INDEX(Table2[Quarterly Target],MATCH(Table1[[#This Row],[Region]],Table2[[Region ]],0))</f>
        <v>120000</v>
      </c>
      <c r="U177" s="9">
        <f>RANK(Table1[[#This Row],[Sales]],Table1[Sales])</f>
        <v>336</v>
      </c>
      <c r="V177" s="21">
        <f>SUM(N$2:N178)</f>
        <v>593390.18550000049</v>
      </c>
    </row>
    <row r="178" spans="1:22" x14ac:dyDescent="0.25">
      <c r="A178" s="5" t="s">
        <v>473</v>
      </c>
      <c r="B178" s="6" t="s">
        <v>290</v>
      </c>
      <c r="C178" s="6" t="s">
        <v>474</v>
      </c>
      <c r="D178" s="7" t="s">
        <v>16</v>
      </c>
      <c r="E178" s="7" t="s">
        <v>49</v>
      </c>
      <c r="F178" s="7" t="s">
        <v>60</v>
      </c>
      <c r="G178" s="7" t="s">
        <v>82</v>
      </c>
      <c r="H178" s="7" t="s">
        <v>45</v>
      </c>
      <c r="I178" s="7" t="s">
        <v>83</v>
      </c>
      <c r="J178" s="7">
        <v>15</v>
      </c>
      <c r="K178" s="24">
        <v>157.63999999999999</v>
      </c>
      <c r="L178" s="8">
        <v>0.05</v>
      </c>
      <c r="M178" s="20">
        <v>104.7</v>
      </c>
      <c r="N178" s="21">
        <f>(Table1[[#This Row],[Quantity]]*Table1[[#This Row],[Unit Price]])*(1-Table1[[#This Row],[Discount]])</f>
        <v>2246.37</v>
      </c>
      <c r="O178" s="21">
        <f>(Table1[[#This Row],[Unit Price]]-Table1[[#This Row],[Unit Cost]])*Table1[[#This Row],[Quantity]]</f>
        <v>794.0999999999998</v>
      </c>
      <c r="P178" s="9" t="str">
        <f t="shared" si="2"/>
        <v>Bulk</v>
      </c>
      <c r="Q178" s="9" t="str">
        <f>IF(Table1[[#This Row],[Discount]]&gt;=15%,"HIGH",IF(Table1[[#This Row],[Discount]]&gt;=55,"MEDIUM","NONE"))</f>
        <v>NONE</v>
      </c>
      <c r="R178" s="9">
        <f>Table1[[#This Row],[Ship Date]]-Table1[[#This Row],[Order Date]]</f>
        <v>4</v>
      </c>
      <c r="S178" s="9">
        <f>VLOOKUP(Table1[[#This Row],[Region]],Table2[],2,FALSE)</f>
        <v>160000</v>
      </c>
      <c r="T178" s="9">
        <f>INDEX(Table2[Quarterly Target],MATCH(Table1[[#This Row],[Region]],Table2[[Region ]],0))</f>
        <v>160000</v>
      </c>
      <c r="U178" s="9">
        <f>RANK(Table1[[#This Row],[Sales]],Table1[Sales])</f>
        <v>134</v>
      </c>
      <c r="V178" s="21">
        <f>SUM(N$2:N179)</f>
        <v>593558.04550000047</v>
      </c>
    </row>
    <row r="179" spans="1:22" x14ac:dyDescent="0.25">
      <c r="A179" s="5" t="s">
        <v>475</v>
      </c>
      <c r="B179" s="6" t="s">
        <v>293</v>
      </c>
      <c r="C179" s="6" t="s">
        <v>293</v>
      </c>
      <c r="D179" s="7" t="s">
        <v>24</v>
      </c>
      <c r="E179" s="7" t="s">
        <v>37</v>
      </c>
      <c r="F179" s="7" t="s">
        <v>60</v>
      </c>
      <c r="G179" s="7" t="s">
        <v>26</v>
      </c>
      <c r="H179" s="7" t="s">
        <v>33</v>
      </c>
      <c r="I179" s="7" t="s">
        <v>34</v>
      </c>
      <c r="J179" s="7">
        <v>7</v>
      </c>
      <c r="K179" s="24">
        <v>23.98</v>
      </c>
      <c r="L179" s="8">
        <v>0</v>
      </c>
      <c r="M179" s="20">
        <v>15.73</v>
      </c>
      <c r="N179" s="21">
        <f>(Table1[[#This Row],[Quantity]]*Table1[[#This Row],[Unit Price]])*(1-Table1[[#This Row],[Discount]])</f>
        <v>167.86</v>
      </c>
      <c r="O179" s="21">
        <f>(Table1[[#This Row],[Unit Price]]-Table1[[#This Row],[Unit Cost]])*Table1[[#This Row],[Quantity]]</f>
        <v>57.75</v>
      </c>
      <c r="P179" s="9" t="str">
        <f t="shared" si="2"/>
        <v>Bulk</v>
      </c>
      <c r="Q179" s="9" t="str">
        <f>IF(Table1[[#This Row],[Discount]]&gt;=15%,"HIGH",IF(Table1[[#This Row],[Discount]]&gt;=55,"MEDIUM","NONE"))</f>
        <v>NONE</v>
      </c>
      <c r="R179" s="9">
        <f>Table1[[#This Row],[Ship Date]]-Table1[[#This Row],[Order Date]]</f>
        <v>0</v>
      </c>
      <c r="S179" s="9">
        <f>VLOOKUP(Table1[[#This Row],[Region]],Table2[],2,FALSE)</f>
        <v>160000</v>
      </c>
      <c r="T179" s="9">
        <f>INDEX(Table2[Quarterly Target],MATCH(Table1[[#This Row],[Region]],Table2[[Region ]],0))</f>
        <v>160000</v>
      </c>
      <c r="U179" s="9">
        <f>RANK(Table1[[#This Row],[Sales]],Table1[Sales])</f>
        <v>325</v>
      </c>
      <c r="V179" s="21">
        <f>SUM(N$2:N180)</f>
        <v>594861.09550000052</v>
      </c>
    </row>
    <row r="180" spans="1:22" x14ac:dyDescent="0.25">
      <c r="A180" s="5" t="s">
        <v>476</v>
      </c>
      <c r="B180" s="6" t="s">
        <v>411</v>
      </c>
      <c r="C180" s="6" t="s">
        <v>477</v>
      </c>
      <c r="D180" s="7" t="s">
        <v>16</v>
      </c>
      <c r="E180" s="7" t="s">
        <v>31</v>
      </c>
      <c r="F180" s="7" t="s">
        <v>18</v>
      </c>
      <c r="G180" s="7" t="s">
        <v>50</v>
      </c>
      <c r="H180" s="7" t="s">
        <v>61</v>
      </c>
      <c r="I180" s="7" t="s">
        <v>106</v>
      </c>
      <c r="J180" s="7">
        <v>25</v>
      </c>
      <c r="K180" s="24">
        <v>61.32</v>
      </c>
      <c r="L180" s="8">
        <v>0.15</v>
      </c>
      <c r="M180" s="20">
        <v>43.63</v>
      </c>
      <c r="N180" s="21">
        <f>(Table1[[#This Row],[Quantity]]*Table1[[#This Row],[Unit Price]])*(1-Table1[[#This Row],[Discount]])</f>
        <v>1303.05</v>
      </c>
      <c r="O180" s="21">
        <f>(Table1[[#This Row],[Unit Price]]-Table1[[#This Row],[Unit Cost]])*Table1[[#This Row],[Quantity]]</f>
        <v>442.24999999999994</v>
      </c>
      <c r="P180" s="9" t="str">
        <f t="shared" si="2"/>
        <v>Standard</v>
      </c>
      <c r="Q180" s="9" t="str">
        <f>IF(Table1[[#This Row],[Discount]]&gt;=15%,"HIGH",IF(Table1[[#This Row],[Discount]]&gt;=55,"MEDIUM","NONE"))</f>
        <v>HIGH</v>
      </c>
      <c r="R180" s="9">
        <f>Table1[[#This Row],[Ship Date]]-Table1[[#This Row],[Order Date]]</f>
        <v>7</v>
      </c>
      <c r="S180" s="9">
        <f>VLOOKUP(Table1[[#This Row],[Region]],Table2[],2,FALSE)</f>
        <v>140000</v>
      </c>
      <c r="T180" s="9">
        <f>INDEX(Table2[Quarterly Target],MATCH(Table1[[#This Row],[Region]],Table2[[Region ]],0))</f>
        <v>140000</v>
      </c>
      <c r="U180" s="9">
        <f>RANK(Table1[[#This Row],[Sales]],Table1[Sales])</f>
        <v>159</v>
      </c>
      <c r="V180" s="21">
        <f>SUM(N$2:N181)</f>
        <v>595071.58750000049</v>
      </c>
    </row>
    <row r="181" spans="1:22" x14ac:dyDescent="0.25">
      <c r="A181" s="5" t="s">
        <v>478</v>
      </c>
      <c r="B181" s="6" t="s">
        <v>479</v>
      </c>
      <c r="C181" s="6" t="s">
        <v>479</v>
      </c>
      <c r="D181" s="7" t="s">
        <v>24</v>
      </c>
      <c r="E181" s="7" t="s">
        <v>49</v>
      </c>
      <c r="F181" s="7" t="s">
        <v>60</v>
      </c>
      <c r="G181" s="7" t="s">
        <v>50</v>
      </c>
      <c r="H181" s="7" t="s">
        <v>61</v>
      </c>
      <c r="I181" s="7" t="s">
        <v>62</v>
      </c>
      <c r="J181" s="7">
        <v>12</v>
      </c>
      <c r="K181" s="24">
        <v>19.489999999999998</v>
      </c>
      <c r="L181" s="8">
        <v>0.1</v>
      </c>
      <c r="M181" s="20">
        <v>12.63</v>
      </c>
      <c r="N181" s="21">
        <f>(Table1[[#This Row],[Quantity]]*Table1[[#This Row],[Unit Price]])*(1-Table1[[#This Row],[Discount]])</f>
        <v>210.49199999999999</v>
      </c>
      <c r="O181" s="21">
        <f>(Table1[[#This Row],[Unit Price]]-Table1[[#This Row],[Unit Cost]])*Table1[[#This Row],[Quantity]]</f>
        <v>82.319999999999965</v>
      </c>
      <c r="P181" s="9" t="str">
        <f t="shared" si="2"/>
        <v>Bulk</v>
      </c>
      <c r="Q181" s="9" t="str">
        <f>IF(Table1[[#This Row],[Discount]]&gt;=15%,"HIGH",IF(Table1[[#This Row],[Discount]]&gt;=55,"MEDIUM","NONE"))</f>
        <v>NONE</v>
      </c>
      <c r="R181" s="9">
        <f>Table1[[#This Row],[Ship Date]]-Table1[[#This Row],[Order Date]]</f>
        <v>0</v>
      </c>
      <c r="S181" s="9">
        <f>VLOOKUP(Table1[[#This Row],[Region]],Table2[],2,FALSE)</f>
        <v>160000</v>
      </c>
      <c r="T181" s="9">
        <f>INDEX(Table2[Quarterly Target],MATCH(Table1[[#This Row],[Region]],Table2[[Region ]],0))</f>
        <v>160000</v>
      </c>
      <c r="U181" s="9">
        <f>RANK(Table1[[#This Row],[Sales]],Table1[Sales])</f>
        <v>307</v>
      </c>
      <c r="V181" s="21">
        <f>SUM(N$2:N182)</f>
        <v>608030.76750000054</v>
      </c>
    </row>
    <row r="182" spans="1:22" x14ac:dyDescent="0.25">
      <c r="A182" s="5" t="s">
        <v>480</v>
      </c>
      <c r="B182" s="6" t="s">
        <v>481</v>
      </c>
      <c r="C182" s="6" t="s">
        <v>481</v>
      </c>
      <c r="D182" s="7" t="s">
        <v>24</v>
      </c>
      <c r="E182" s="7" t="s">
        <v>122</v>
      </c>
      <c r="F182" s="7" t="s">
        <v>60</v>
      </c>
      <c r="G182" s="7" t="s">
        <v>97</v>
      </c>
      <c r="H182" s="7" t="s">
        <v>20</v>
      </c>
      <c r="I182" s="7" t="s">
        <v>134</v>
      </c>
      <c r="J182" s="7">
        <v>13</v>
      </c>
      <c r="K182" s="24">
        <v>996.86</v>
      </c>
      <c r="L182" s="8">
        <v>0</v>
      </c>
      <c r="M182" s="20">
        <v>663.07</v>
      </c>
      <c r="N182" s="21">
        <f>(Table1[[#This Row],[Quantity]]*Table1[[#This Row],[Unit Price]])*(1-Table1[[#This Row],[Discount]])</f>
        <v>12959.18</v>
      </c>
      <c r="O182" s="21">
        <f>(Table1[[#This Row],[Unit Price]]-Table1[[#This Row],[Unit Cost]])*Table1[[#This Row],[Quantity]]</f>
        <v>4339.2699999999995</v>
      </c>
      <c r="P182" s="9" t="str">
        <f t="shared" si="2"/>
        <v>Bulk</v>
      </c>
      <c r="Q182" s="9" t="str">
        <f>IF(Table1[[#This Row],[Discount]]&gt;=15%,"HIGH",IF(Table1[[#This Row],[Discount]]&gt;=55,"MEDIUM","NONE"))</f>
        <v>NONE</v>
      </c>
      <c r="R182" s="9">
        <f>Table1[[#This Row],[Ship Date]]-Table1[[#This Row],[Order Date]]</f>
        <v>0</v>
      </c>
      <c r="S182" s="9">
        <f>VLOOKUP(Table1[[#This Row],[Region]],Table2[],2,FALSE)</f>
        <v>160000</v>
      </c>
      <c r="T182" s="9">
        <f>INDEX(Table2[Quarterly Target],MATCH(Table1[[#This Row],[Region]],Table2[[Region ]],0))</f>
        <v>160000</v>
      </c>
      <c r="U182" s="9">
        <f>RANK(Table1[[#This Row],[Sales]],Table1[Sales])</f>
        <v>26</v>
      </c>
      <c r="V182" s="21">
        <f>SUM(N$2:N183)</f>
        <v>608833.26150000049</v>
      </c>
    </row>
    <row r="183" spans="1:22" x14ac:dyDescent="0.25">
      <c r="A183" s="5" t="s">
        <v>482</v>
      </c>
      <c r="B183" s="6" t="s">
        <v>483</v>
      </c>
      <c r="C183" s="6" t="s">
        <v>484</v>
      </c>
      <c r="D183" s="7" t="s">
        <v>16</v>
      </c>
      <c r="E183" s="7" t="s">
        <v>112</v>
      </c>
      <c r="F183" s="7" t="s">
        <v>60</v>
      </c>
      <c r="G183" s="7" t="s">
        <v>26</v>
      </c>
      <c r="H183" s="7" t="s">
        <v>20</v>
      </c>
      <c r="I183" s="7" t="s">
        <v>21</v>
      </c>
      <c r="J183" s="7">
        <v>7</v>
      </c>
      <c r="K183" s="24">
        <v>127.38</v>
      </c>
      <c r="L183" s="8">
        <v>0.1</v>
      </c>
      <c r="M183" s="20">
        <v>71.13</v>
      </c>
      <c r="N183" s="21">
        <f>(Table1[[#This Row],[Quantity]]*Table1[[#This Row],[Unit Price]])*(1-Table1[[#This Row],[Discount]])</f>
        <v>802.49400000000003</v>
      </c>
      <c r="O183" s="21">
        <f>(Table1[[#This Row],[Unit Price]]-Table1[[#This Row],[Unit Cost]])*Table1[[#This Row],[Quantity]]</f>
        <v>393.75</v>
      </c>
      <c r="P183" s="9" t="str">
        <f t="shared" si="2"/>
        <v>Bulk</v>
      </c>
      <c r="Q183" s="9" t="str">
        <f>IF(Table1[[#This Row],[Discount]]&gt;=15%,"HIGH",IF(Table1[[#This Row],[Discount]]&gt;=55,"MEDIUM","NONE"))</f>
        <v>NONE</v>
      </c>
      <c r="R183" s="9">
        <f>Table1[[#This Row],[Ship Date]]-Table1[[#This Row],[Order Date]]</f>
        <v>4</v>
      </c>
      <c r="S183" s="9">
        <f>VLOOKUP(Table1[[#This Row],[Region]],Table2[],2,FALSE)</f>
        <v>160000</v>
      </c>
      <c r="T183" s="9">
        <f>INDEX(Table2[Quarterly Target],MATCH(Table1[[#This Row],[Region]],Table2[[Region ]],0))</f>
        <v>160000</v>
      </c>
      <c r="U183" s="9">
        <f>RANK(Table1[[#This Row],[Sales]],Table1[Sales])</f>
        <v>186</v>
      </c>
      <c r="V183" s="21">
        <f>SUM(N$2:N184)</f>
        <v>609084.81150000053</v>
      </c>
    </row>
    <row r="184" spans="1:22" x14ac:dyDescent="0.25">
      <c r="A184" s="5" t="s">
        <v>485</v>
      </c>
      <c r="B184" s="6" t="s">
        <v>486</v>
      </c>
      <c r="C184" s="6" t="s">
        <v>487</v>
      </c>
      <c r="D184" s="7" t="s">
        <v>16</v>
      </c>
      <c r="E184" s="7" t="s">
        <v>122</v>
      </c>
      <c r="F184" s="7" t="s">
        <v>25</v>
      </c>
      <c r="G184" s="7" t="s">
        <v>19</v>
      </c>
      <c r="H184" s="7" t="s">
        <v>61</v>
      </c>
      <c r="I184" s="7" t="s">
        <v>62</v>
      </c>
      <c r="J184" s="7">
        <v>5</v>
      </c>
      <c r="K184" s="24">
        <v>50.31</v>
      </c>
      <c r="L184" s="8">
        <v>0</v>
      </c>
      <c r="M184" s="20">
        <v>30.62</v>
      </c>
      <c r="N184" s="21">
        <f>(Table1[[#This Row],[Quantity]]*Table1[[#This Row],[Unit Price]])*(1-Table1[[#This Row],[Discount]])</f>
        <v>251.55</v>
      </c>
      <c r="O184" s="21">
        <f>(Table1[[#This Row],[Unit Price]]-Table1[[#This Row],[Unit Cost]])*Table1[[#This Row],[Quantity]]</f>
        <v>98.45</v>
      </c>
      <c r="P184" s="9" t="str">
        <f t="shared" si="2"/>
        <v>Standard</v>
      </c>
      <c r="Q184" s="9" t="str">
        <f>IF(Table1[[#This Row],[Discount]]&gt;=15%,"HIGH",IF(Table1[[#This Row],[Discount]]&gt;=55,"MEDIUM","NONE"))</f>
        <v>NONE</v>
      </c>
      <c r="R184" s="9">
        <f>Table1[[#This Row],[Ship Date]]-Table1[[#This Row],[Order Date]]</f>
        <v>6</v>
      </c>
      <c r="S184" s="9">
        <f>VLOOKUP(Table1[[#This Row],[Region]],Table2[],2,FALSE)</f>
        <v>130000</v>
      </c>
      <c r="T184" s="9">
        <f>INDEX(Table2[Quarterly Target],MATCH(Table1[[#This Row],[Region]],Table2[[Region ]],0))</f>
        <v>130000</v>
      </c>
      <c r="U184" s="9">
        <f>RANK(Table1[[#This Row],[Sales]],Table1[Sales])</f>
        <v>291</v>
      </c>
      <c r="V184" s="21">
        <f>SUM(N$2:N185)</f>
        <v>609119.8035000005</v>
      </c>
    </row>
    <row r="185" spans="1:22" x14ac:dyDescent="0.25">
      <c r="A185" s="5" t="s">
        <v>488</v>
      </c>
      <c r="B185" s="6" t="s">
        <v>136</v>
      </c>
      <c r="C185" s="6" t="s">
        <v>489</v>
      </c>
      <c r="D185" s="7" t="s">
        <v>30</v>
      </c>
      <c r="E185" s="7" t="s">
        <v>17</v>
      </c>
      <c r="F185" s="7" t="s">
        <v>38</v>
      </c>
      <c r="G185" s="7" t="s">
        <v>97</v>
      </c>
      <c r="H185" s="7" t="s">
        <v>33</v>
      </c>
      <c r="I185" s="7" t="s">
        <v>51</v>
      </c>
      <c r="J185" s="7">
        <v>9</v>
      </c>
      <c r="K185" s="24">
        <v>4.32</v>
      </c>
      <c r="L185" s="8">
        <v>0.1</v>
      </c>
      <c r="M185" s="20">
        <v>3.33</v>
      </c>
      <c r="N185" s="21">
        <f>(Table1[[#This Row],[Quantity]]*Table1[[#This Row],[Unit Price]])*(1-Table1[[#This Row],[Discount]])</f>
        <v>34.992000000000004</v>
      </c>
      <c r="O185" s="21">
        <f>(Table1[[#This Row],[Unit Price]]-Table1[[#This Row],[Unit Cost]])*Table1[[#This Row],[Quantity]]</f>
        <v>8.9100000000000019</v>
      </c>
      <c r="P185" s="9" t="str">
        <f t="shared" si="2"/>
        <v>Standard</v>
      </c>
      <c r="Q185" s="9" t="str">
        <f>IF(Table1[[#This Row],[Discount]]&gt;=15%,"HIGH",IF(Table1[[#This Row],[Discount]]&gt;=55,"MEDIUM","NONE"))</f>
        <v>NONE</v>
      </c>
      <c r="R185" s="9">
        <f>Table1[[#This Row],[Ship Date]]-Table1[[#This Row],[Order Date]]</f>
        <v>3</v>
      </c>
      <c r="S185" s="9">
        <f>VLOOKUP(Table1[[#This Row],[Region]],Table2[],2,FALSE)</f>
        <v>120000</v>
      </c>
      <c r="T185" s="9">
        <f>INDEX(Table2[Quarterly Target],MATCH(Table1[[#This Row],[Region]],Table2[[Region ]],0))</f>
        <v>120000</v>
      </c>
      <c r="U185" s="9">
        <f>RANK(Table1[[#This Row],[Sales]],Table1[Sales])</f>
        <v>389</v>
      </c>
      <c r="V185" s="21">
        <f>SUM(N$2:N186)</f>
        <v>609717.04350000049</v>
      </c>
    </row>
    <row r="186" spans="1:22" x14ac:dyDescent="0.25">
      <c r="A186" s="5" t="s">
        <v>490</v>
      </c>
      <c r="B186" s="6" t="s">
        <v>491</v>
      </c>
      <c r="C186" s="6" t="s">
        <v>491</v>
      </c>
      <c r="D186" s="7" t="s">
        <v>24</v>
      </c>
      <c r="E186" s="7" t="s">
        <v>55</v>
      </c>
      <c r="F186" s="7" t="s">
        <v>18</v>
      </c>
      <c r="G186" s="7" t="s">
        <v>32</v>
      </c>
      <c r="H186" s="7" t="s">
        <v>61</v>
      </c>
      <c r="I186" s="7" t="s">
        <v>106</v>
      </c>
      <c r="J186" s="7">
        <v>14</v>
      </c>
      <c r="K186" s="24">
        <v>42.66</v>
      </c>
      <c r="L186" s="8">
        <v>0</v>
      </c>
      <c r="M186" s="20">
        <v>27.48</v>
      </c>
      <c r="N186" s="21">
        <f>(Table1[[#This Row],[Quantity]]*Table1[[#This Row],[Unit Price]])*(1-Table1[[#This Row],[Discount]])</f>
        <v>597.24</v>
      </c>
      <c r="O186" s="21">
        <f>(Table1[[#This Row],[Unit Price]]-Table1[[#This Row],[Unit Cost]])*Table1[[#This Row],[Quantity]]</f>
        <v>212.51999999999995</v>
      </c>
      <c r="P186" s="9" t="str">
        <f t="shared" si="2"/>
        <v>Standard</v>
      </c>
      <c r="Q186" s="9" t="str">
        <f>IF(Table1[[#This Row],[Discount]]&gt;=15%,"HIGH",IF(Table1[[#This Row],[Discount]]&gt;=55,"MEDIUM","NONE"))</f>
        <v>NONE</v>
      </c>
      <c r="R186" s="9">
        <f>Table1[[#This Row],[Ship Date]]-Table1[[#This Row],[Order Date]]</f>
        <v>0</v>
      </c>
      <c r="S186" s="9">
        <f>VLOOKUP(Table1[[#This Row],[Region]],Table2[],2,FALSE)</f>
        <v>140000</v>
      </c>
      <c r="T186" s="9">
        <f>INDEX(Table2[Quarterly Target],MATCH(Table1[[#This Row],[Region]],Table2[[Region ]],0))</f>
        <v>140000</v>
      </c>
      <c r="U186" s="9">
        <f>RANK(Table1[[#This Row],[Sales]],Table1[Sales])</f>
        <v>216</v>
      </c>
      <c r="V186" s="21">
        <f>SUM(N$2:N187)</f>
        <v>610095.63750000054</v>
      </c>
    </row>
    <row r="187" spans="1:22" x14ac:dyDescent="0.25">
      <c r="A187" s="5" t="s">
        <v>492</v>
      </c>
      <c r="B187" s="6" t="s">
        <v>493</v>
      </c>
      <c r="C187" s="6" t="s">
        <v>494</v>
      </c>
      <c r="D187" s="7" t="s">
        <v>30</v>
      </c>
      <c r="E187" s="7" t="s">
        <v>133</v>
      </c>
      <c r="F187" s="7" t="s">
        <v>60</v>
      </c>
      <c r="G187" s="7" t="s">
        <v>97</v>
      </c>
      <c r="H187" s="7" t="s">
        <v>33</v>
      </c>
      <c r="I187" s="7" t="s">
        <v>51</v>
      </c>
      <c r="J187" s="7">
        <v>18</v>
      </c>
      <c r="K187" s="24">
        <v>22.14</v>
      </c>
      <c r="L187" s="8">
        <v>0.05</v>
      </c>
      <c r="M187" s="20">
        <v>13.52</v>
      </c>
      <c r="N187" s="21">
        <f>(Table1[[#This Row],[Quantity]]*Table1[[#This Row],[Unit Price]])*(1-Table1[[#This Row],[Discount]])</f>
        <v>378.59399999999994</v>
      </c>
      <c r="O187" s="21">
        <f>(Table1[[#This Row],[Unit Price]]-Table1[[#This Row],[Unit Cost]])*Table1[[#This Row],[Quantity]]</f>
        <v>155.16000000000003</v>
      </c>
      <c r="P187" s="9" t="str">
        <f t="shared" si="2"/>
        <v>Bulk</v>
      </c>
      <c r="Q187" s="9" t="str">
        <f>IF(Table1[[#This Row],[Discount]]&gt;=15%,"HIGH",IF(Table1[[#This Row],[Discount]]&gt;=55,"MEDIUM","NONE"))</f>
        <v>NONE</v>
      </c>
      <c r="R187" s="9">
        <f>Table1[[#This Row],[Ship Date]]-Table1[[#This Row],[Order Date]]</f>
        <v>3</v>
      </c>
      <c r="S187" s="9">
        <f>VLOOKUP(Table1[[#This Row],[Region]],Table2[],2,FALSE)</f>
        <v>160000</v>
      </c>
      <c r="T187" s="9">
        <f>INDEX(Table2[Quarterly Target],MATCH(Table1[[#This Row],[Region]],Table2[[Region ]],0))</f>
        <v>160000</v>
      </c>
      <c r="U187" s="9">
        <f>RANK(Table1[[#This Row],[Sales]],Table1[Sales])</f>
        <v>254</v>
      </c>
      <c r="V187" s="21">
        <f>SUM(N$2:N188)</f>
        <v>614013.93150000053</v>
      </c>
    </row>
    <row r="188" spans="1:22" x14ac:dyDescent="0.25">
      <c r="A188" s="5" t="s">
        <v>495</v>
      </c>
      <c r="B188" s="6" t="s">
        <v>496</v>
      </c>
      <c r="C188" s="6" t="s">
        <v>457</v>
      </c>
      <c r="D188" s="7" t="s">
        <v>16</v>
      </c>
      <c r="E188" s="7" t="s">
        <v>49</v>
      </c>
      <c r="F188" s="7" t="s">
        <v>18</v>
      </c>
      <c r="G188" s="7" t="s">
        <v>19</v>
      </c>
      <c r="H188" s="7" t="s">
        <v>20</v>
      </c>
      <c r="I188" s="7" t="s">
        <v>139</v>
      </c>
      <c r="J188" s="7">
        <v>9</v>
      </c>
      <c r="K188" s="24">
        <v>483.74</v>
      </c>
      <c r="L188" s="8">
        <v>0.1</v>
      </c>
      <c r="M188" s="20">
        <v>338.97</v>
      </c>
      <c r="N188" s="21">
        <f>(Table1[[#This Row],[Quantity]]*Table1[[#This Row],[Unit Price]])*(1-Table1[[#This Row],[Discount]])</f>
        <v>3918.2939999999999</v>
      </c>
      <c r="O188" s="21">
        <f>(Table1[[#This Row],[Unit Price]]-Table1[[#This Row],[Unit Cost]])*Table1[[#This Row],[Quantity]]</f>
        <v>1302.9299999999998</v>
      </c>
      <c r="P188" s="9" t="str">
        <f t="shared" si="2"/>
        <v>Bulk</v>
      </c>
      <c r="Q188" s="9" t="str">
        <f>IF(Table1[[#This Row],[Discount]]&gt;=15%,"HIGH",IF(Table1[[#This Row],[Discount]]&gt;=55,"MEDIUM","NONE"))</f>
        <v>NONE</v>
      </c>
      <c r="R188" s="9">
        <f>Table1[[#This Row],[Ship Date]]-Table1[[#This Row],[Order Date]]</f>
        <v>4</v>
      </c>
      <c r="S188" s="9">
        <f>VLOOKUP(Table1[[#This Row],[Region]],Table2[],2,FALSE)</f>
        <v>140000</v>
      </c>
      <c r="T188" s="9">
        <f>INDEX(Table2[Quarterly Target],MATCH(Table1[[#This Row],[Region]],Table2[[Region ]],0))</f>
        <v>140000</v>
      </c>
      <c r="U188" s="9">
        <f>RANK(Table1[[#This Row],[Sales]],Table1[Sales])</f>
        <v>107</v>
      </c>
      <c r="V188" s="21">
        <f>SUM(N$2:N189)</f>
        <v>618497.25650000048</v>
      </c>
    </row>
    <row r="189" spans="1:22" x14ac:dyDescent="0.25">
      <c r="A189" s="5" t="s">
        <v>497</v>
      </c>
      <c r="B189" s="6" t="s">
        <v>442</v>
      </c>
      <c r="C189" s="6" t="s">
        <v>498</v>
      </c>
      <c r="D189" s="7" t="s">
        <v>16</v>
      </c>
      <c r="E189" s="7" t="s">
        <v>117</v>
      </c>
      <c r="F189" s="7" t="s">
        <v>25</v>
      </c>
      <c r="G189" s="7" t="s">
        <v>44</v>
      </c>
      <c r="H189" s="7" t="s">
        <v>45</v>
      </c>
      <c r="I189" s="7" t="s">
        <v>143</v>
      </c>
      <c r="J189" s="7">
        <v>7</v>
      </c>
      <c r="K189" s="24">
        <v>753.5</v>
      </c>
      <c r="L189" s="8">
        <v>0.15</v>
      </c>
      <c r="M189" s="20">
        <v>436.52</v>
      </c>
      <c r="N189" s="21">
        <f>(Table1[[#This Row],[Quantity]]*Table1[[#This Row],[Unit Price]])*(1-Table1[[#This Row],[Discount]])</f>
        <v>4483.3249999999998</v>
      </c>
      <c r="O189" s="21">
        <f>(Table1[[#This Row],[Unit Price]]-Table1[[#This Row],[Unit Cost]])*Table1[[#This Row],[Quantity]]</f>
        <v>2218.86</v>
      </c>
      <c r="P189" s="9" t="str">
        <f t="shared" si="2"/>
        <v>Standard</v>
      </c>
      <c r="Q189" s="9" t="str">
        <f>IF(Table1[[#This Row],[Discount]]&gt;=15%,"HIGH",IF(Table1[[#This Row],[Discount]]&gt;=55,"MEDIUM","NONE"))</f>
        <v>HIGH</v>
      </c>
      <c r="R189" s="9">
        <f>Table1[[#This Row],[Ship Date]]-Table1[[#This Row],[Order Date]]</f>
        <v>7</v>
      </c>
      <c r="S189" s="9">
        <f>VLOOKUP(Table1[[#This Row],[Region]],Table2[],2,FALSE)</f>
        <v>130000</v>
      </c>
      <c r="T189" s="9">
        <f>INDEX(Table2[Quarterly Target],MATCH(Table1[[#This Row],[Region]],Table2[[Region ]],0))</f>
        <v>130000</v>
      </c>
      <c r="U189" s="9">
        <f>RANK(Table1[[#This Row],[Sales]],Table1[Sales])</f>
        <v>102</v>
      </c>
      <c r="V189" s="21">
        <f>SUM(N$2:N190)</f>
        <v>622972.83800000045</v>
      </c>
    </row>
    <row r="190" spans="1:22" x14ac:dyDescent="0.25">
      <c r="A190" s="5" t="s">
        <v>499</v>
      </c>
      <c r="B190" s="6" t="s">
        <v>240</v>
      </c>
      <c r="C190" s="6" t="s">
        <v>500</v>
      </c>
      <c r="D190" s="7" t="s">
        <v>30</v>
      </c>
      <c r="E190" s="7" t="s">
        <v>122</v>
      </c>
      <c r="F190" s="7" t="s">
        <v>25</v>
      </c>
      <c r="G190" s="7" t="s">
        <v>32</v>
      </c>
      <c r="H190" s="7" t="s">
        <v>45</v>
      </c>
      <c r="I190" s="7" t="s">
        <v>143</v>
      </c>
      <c r="J190" s="7">
        <v>13</v>
      </c>
      <c r="K190" s="24">
        <v>405.03</v>
      </c>
      <c r="L190" s="8">
        <v>0.15</v>
      </c>
      <c r="M190" s="20">
        <v>259.14</v>
      </c>
      <c r="N190" s="21">
        <f>(Table1[[#This Row],[Quantity]]*Table1[[#This Row],[Unit Price]])*(1-Table1[[#This Row],[Discount]])</f>
        <v>4475.5814999999993</v>
      </c>
      <c r="O190" s="21">
        <f>(Table1[[#This Row],[Unit Price]]-Table1[[#This Row],[Unit Cost]])*Table1[[#This Row],[Quantity]]</f>
        <v>1896.5699999999997</v>
      </c>
      <c r="P190" s="9" t="str">
        <f t="shared" si="2"/>
        <v>Standard</v>
      </c>
      <c r="Q190" s="9" t="str">
        <f>IF(Table1[[#This Row],[Discount]]&gt;=15%,"HIGH",IF(Table1[[#This Row],[Discount]]&gt;=55,"MEDIUM","NONE"))</f>
        <v>HIGH</v>
      </c>
      <c r="R190" s="9">
        <f>Table1[[#This Row],[Ship Date]]-Table1[[#This Row],[Order Date]]</f>
        <v>3</v>
      </c>
      <c r="S190" s="9">
        <f>VLOOKUP(Table1[[#This Row],[Region]],Table2[],2,FALSE)</f>
        <v>130000</v>
      </c>
      <c r="T190" s="9">
        <f>INDEX(Table2[Quarterly Target],MATCH(Table1[[#This Row],[Region]],Table2[[Region ]],0))</f>
        <v>130000</v>
      </c>
      <c r="U190" s="9">
        <f>RANK(Table1[[#This Row],[Sales]],Table1[Sales])</f>
        <v>103</v>
      </c>
      <c r="V190" s="21">
        <f>SUM(N$2:N191)</f>
        <v>623393.19800000044</v>
      </c>
    </row>
    <row r="191" spans="1:22" x14ac:dyDescent="0.25">
      <c r="A191" s="5" t="s">
        <v>501</v>
      </c>
      <c r="B191" s="6" t="s">
        <v>502</v>
      </c>
      <c r="C191" s="6" t="s">
        <v>503</v>
      </c>
      <c r="D191" s="7" t="s">
        <v>16</v>
      </c>
      <c r="E191" s="7" t="s">
        <v>66</v>
      </c>
      <c r="F191" s="7" t="s">
        <v>43</v>
      </c>
      <c r="G191" s="7" t="s">
        <v>32</v>
      </c>
      <c r="H191" s="7" t="s">
        <v>61</v>
      </c>
      <c r="I191" s="7" t="s">
        <v>62</v>
      </c>
      <c r="J191" s="7">
        <v>12</v>
      </c>
      <c r="K191" s="24">
        <v>35.03</v>
      </c>
      <c r="L191" s="8">
        <v>0</v>
      </c>
      <c r="M191" s="20">
        <v>24.19</v>
      </c>
      <c r="N191" s="21">
        <f>(Table1[[#This Row],[Quantity]]*Table1[[#This Row],[Unit Price]])*(1-Table1[[#This Row],[Discount]])</f>
        <v>420.36</v>
      </c>
      <c r="O191" s="21">
        <f>(Table1[[#This Row],[Unit Price]]-Table1[[#This Row],[Unit Cost]])*Table1[[#This Row],[Quantity]]</f>
        <v>130.07999999999998</v>
      </c>
      <c r="P191" s="9" t="str">
        <f t="shared" si="2"/>
        <v>Bulk</v>
      </c>
      <c r="Q191" s="9" t="str">
        <f>IF(Table1[[#This Row],[Discount]]&gt;=15%,"HIGH",IF(Table1[[#This Row],[Discount]]&gt;=55,"MEDIUM","NONE"))</f>
        <v>NONE</v>
      </c>
      <c r="R191" s="9">
        <f>Table1[[#This Row],[Ship Date]]-Table1[[#This Row],[Order Date]]</f>
        <v>5</v>
      </c>
      <c r="S191" s="9">
        <f>VLOOKUP(Table1[[#This Row],[Region]],Table2[],2,FALSE)</f>
        <v>150000</v>
      </c>
      <c r="T191" s="9">
        <f>INDEX(Table2[Quarterly Target],MATCH(Table1[[#This Row],[Region]],Table2[[Region ]],0))</f>
        <v>150000</v>
      </c>
      <c r="U191" s="9">
        <f>RANK(Table1[[#This Row],[Sales]],Table1[Sales])</f>
        <v>241</v>
      </c>
      <c r="V191" s="21">
        <f>SUM(N$2:N192)</f>
        <v>623440.49800000049</v>
      </c>
    </row>
    <row r="192" spans="1:22" x14ac:dyDescent="0.25">
      <c r="A192" s="5" t="s">
        <v>504</v>
      </c>
      <c r="B192" s="6" t="s">
        <v>505</v>
      </c>
      <c r="C192" s="6" t="s">
        <v>301</v>
      </c>
      <c r="D192" s="7" t="s">
        <v>30</v>
      </c>
      <c r="E192" s="7" t="s">
        <v>109</v>
      </c>
      <c r="F192" s="7" t="s">
        <v>38</v>
      </c>
      <c r="G192" s="7" t="s">
        <v>97</v>
      </c>
      <c r="H192" s="7" t="s">
        <v>33</v>
      </c>
      <c r="I192" s="7" t="s">
        <v>153</v>
      </c>
      <c r="J192" s="7">
        <v>5</v>
      </c>
      <c r="K192" s="24">
        <v>9.4600000000000009</v>
      </c>
      <c r="L192" s="8">
        <v>0</v>
      </c>
      <c r="M192" s="20">
        <v>6.1</v>
      </c>
      <c r="N192" s="21">
        <f>(Table1[[#This Row],[Quantity]]*Table1[[#This Row],[Unit Price]])*(1-Table1[[#This Row],[Discount]])</f>
        <v>47.300000000000004</v>
      </c>
      <c r="O192" s="21">
        <f>(Table1[[#This Row],[Unit Price]]-Table1[[#This Row],[Unit Cost]])*Table1[[#This Row],[Quantity]]</f>
        <v>16.800000000000004</v>
      </c>
      <c r="P192" s="9" t="str">
        <f t="shared" si="2"/>
        <v>Bulk</v>
      </c>
      <c r="Q192" s="9" t="str">
        <f>IF(Table1[[#This Row],[Discount]]&gt;=15%,"HIGH",IF(Table1[[#This Row],[Discount]]&gt;=55,"MEDIUM","NONE"))</f>
        <v>NONE</v>
      </c>
      <c r="R192" s="9">
        <f>Table1[[#This Row],[Ship Date]]-Table1[[#This Row],[Order Date]]</f>
        <v>3</v>
      </c>
      <c r="S192" s="9">
        <f>VLOOKUP(Table1[[#This Row],[Region]],Table2[],2,FALSE)</f>
        <v>120000</v>
      </c>
      <c r="T192" s="9">
        <f>INDEX(Table2[Quarterly Target],MATCH(Table1[[#This Row],[Region]],Table2[[Region ]],0))</f>
        <v>120000</v>
      </c>
      <c r="U192" s="9">
        <f>RANK(Table1[[#This Row],[Sales]],Table1[Sales])</f>
        <v>384</v>
      </c>
      <c r="V192" s="21">
        <f>SUM(N$2:N193)</f>
        <v>624213.53800000052</v>
      </c>
    </row>
    <row r="193" spans="1:22" x14ac:dyDescent="0.25">
      <c r="A193" s="5" t="s">
        <v>506</v>
      </c>
      <c r="B193" s="6" t="s">
        <v>229</v>
      </c>
      <c r="C193" s="6" t="s">
        <v>507</v>
      </c>
      <c r="D193" s="7" t="s">
        <v>16</v>
      </c>
      <c r="E193" s="7" t="s">
        <v>66</v>
      </c>
      <c r="F193" s="7" t="s">
        <v>60</v>
      </c>
      <c r="G193" s="7" t="s">
        <v>82</v>
      </c>
      <c r="H193" s="7" t="s">
        <v>33</v>
      </c>
      <c r="I193" s="7" t="s">
        <v>39</v>
      </c>
      <c r="J193" s="7">
        <v>24</v>
      </c>
      <c r="K193" s="24">
        <v>32.21</v>
      </c>
      <c r="L193" s="8">
        <v>0</v>
      </c>
      <c r="M193" s="20">
        <v>18.84</v>
      </c>
      <c r="N193" s="21">
        <f>(Table1[[#This Row],[Quantity]]*Table1[[#This Row],[Unit Price]])*(1-Table1[[#This Row],[Discount]])</f>
        <v>773.04</v>
      </c>
      <c r="O193" s="21">
        <f>(Table1[[#This Row],[Unit Price]]-Table1[[#This Row],[Unit Cost]])*Table1[[#This Row],[Quantity]]</f>
        <v>320.88</v>
      </c>
      <c r="P193" s="9" t="str">
        <f t="shared" si="2"/>
        <v>Standard</v>
      </c>
      <c r="Q193" s="9" t="str">
        <f>IF(Table1[[#This Row],[Discount]]&gt;=15%,"HIGH",IF(Table1[[#This Row],[Discount]]&gt;=55,"MEDIUM","NONE"))</f>
        <v>NONE</v>
      </c>
      <c r="R193" s="9">
        <f>Table1[[#This Row],[Ship Date]]-Table1[[#This Row],[Order Date]]</f>
        <v>7</v>
      </c>
      <c r="S193" s="9">
        <f>VLOOKUP(Table1[[#This Row],[Region]],Table2[],2,FALSE)</f>
        <v>160000</v>
      </c>
      <c r="T193" s="9">
        <f>INDEX(Table2[Quarterly Target],MATCH(Table1[[#This Row],[Region]],Table2[[Region ]],0))</f>
        <v>160000</v>
      </c>
      <c r="U193" s="9">
        <f>RANK(Table1[[#This Row],[Sales]],Table1[Sales])</f>
        <v>192</v>
      </c>
      <c r="V193" s="21">
        <f>SUM(N$2:N194)</f>
        <v>626690.16600000055</v>
      </c>
    </row>
    <row r="194" spans="1:22" x14ac:dyDescent="0.25">
      <c r="A194" s="5" t="s">
        <v>508</v>
      </c>
      <c r="B194" s="6" t="s">
        <v>509</v>
      </c>
      <c r="C194" s="6" t="s">
        <v>510</v>
      </c>
      <c r="D194" s="7" t="s">
        <v>16</v>
      </c>
      <c r="E194" s="7" t="s">
        <v>49</v>
      </c>
      <c r="F194" s="7" t="s">
        <v>43</v>
      </c>
      <c r="G194" s="7" t="s">
        <v>26</v>
      </c>
      <c r="H194" s="7" t="s">
        <v>20</v>
      </c>
      <c r="I194" s="7" t="s">
        <v>192</v>
      </c>
      <c r="J194" s="7">
        <v>14</v>
      </c>
      <c r="K194" s="24">
        <v>208.12</v>
      </c>
      <c r="L194" s="8">
        <v>0.15</v>
      </c>
      <c r="M194" s="20">
        <v>126.51</v>
      </c>
      <c r="N194" s="21">
        <f>(Table1[[#This Row],[Quantity]]*Table1[[#This Row],[Unit Price]])*(1-Table1[[#This Row],[Discount]])</f>
        <v>2476.6280000000002</v>
      </c>
      <c r="O194" s="21">
        <f>(Table1[[#This Row],[Unit Price]]-Table1[[#This Row],[Unit Cost]])*Table1[[#This Row],[Quantity]]</f>
        <v>1142.54</v>
      </c>
      <c r="P194" s="9" t="str">
        <f t="shared" ref="P194:P257" si="3">IF(J193&gt;10,"Bulk","Standard")</f>
        <v>Bulk</v>
      </c>
      <c r="Q194" s="9" t="str">
        <f>IF(Table1[[#This Row],[Discount]]&gt;=15%,"HIGH",IF(Table1[[#This Row],[Discount]]&gt;=55,"MEDIUM","NONE"))</f>
        <v>HIGH</v>
      </c>
      <c r="R194" s="9">
        <f>Table1[[#This Row],[Ship Date]]-Table1[[#This Row],[Order Date]]</f>
        <v>5</v>
      </c>
      <c r="S194" s="9">
        <f>VLOOKUP(Table1[[#This Row],[Region]],Table2[],2,FALSE)</f>
        <v>150000</v>
      </c>
      <c r="T194" s="9">
        <f>INDEX(Table2[Quarterly Target],MATCH(Table1[[#This Row],[Region]],Table2[[Region ]],0))</f>
        <v>150000</v>
      </c>
      <c r="U194" s="9">
        <f>RANK(Table1[[#This Row],[Sales]],Table1[Sales])</f>
        <v>128</v>
      </c>
      <c r="V194" s="21">
        <f>SUM(N$2:N195)</f>
        <v>626852.31000000052</v>
      </c>
    </row>
    <row r="195" spans="1:22" x14ac:dyDescent="0.25">
      <c r="A195" s="5" t="s">
        <v>511</v>
      </c>
      <c r="B195" s="6" t="s">
        <v>404</v>
      </c>
      <c r="C195" s="6" t="s">
        <v>404</v>
      </c>
      <c r="D195" s="7" t="s">
        <v>24</v>
      </c>
      <c r="E195" s="7" t="s">
        <v>112</v>
      </c>
      <c r="F195" s="7" t="s">
        <v>43</v>
      </c>
      <c r="G195" s="7" t="s">
        <v>82</v>
      </c>
      <c r="H195" s="7" t="s">
        <v>61</v>
      </c>
      <c r="I195" s="7" t="s">
        <v>169</v>
      </c>
      <c r="J195" s="7">
        <v>16</v>
      </c>
      <c r="K195" s="24">
        <v>11.26</v>
      </c>
      <c r="L195" s="8">
        <v>0.1</v>
      </c>
      <c r="M195" s="20">
        <v>7.75</v>
      </c>
      <c r="N195" s="21">
        <f>(Table1[[#This Row],[Quantity]]*Table1[[#This Row],[Unit Price]])*(1-Table1[[#This Row],[Discount]])</f>
        <v>162.14400000000001</v>
      </c>
      <c r="O195" s="21">
        <f>(Table1[[#This Row],[Unit Price]]-Table1[[#This Row],[Unit Cost]])*Table1[[#This Row],[Quantity]]</f>
        <v>56.16</v>
      </c>
      <c r="P195" s="9" t="str">
        <f t="shared" si="3"/>
        <v>Bulk</v>
      </c>
      <c r="Q195" s="9" t="str">
        <f>IF(Table1[[#This Row],[Discount]]&gt;=15%,"HIGH",IF(Table1[[#This Row],[Discount]]&gt;=55,"MEDIUM","NONE"))</f>
        <v>NONE</v>
      </c>
      <c r="R195" s="9">
        <f>Table1[[#This Row],[Ship Date]]-Table1[[#This Row],[Order Date]]</f>
        <v>0</v>
      </c>
      <c r="S195" s="9">
        <f>VLOOKUP(Table1[[#This Row],[Region]],Table2[],2,FALSE)</f>
        <v>150000</v>
      </c>
      <c r="T195" s="9">
        <f>INDEX(Table2[Quarterly Target],MATCH(Table1[[#This Row],[Region]],Table2[[Region ]],0))</f>
        <v>150000</v>
      </c>
      <c r="U195" s="9">
        <f>RANK(Table1[[#This Row],[Sales]],Table1[Sales])</f>
        <v>331</v>
      </c>
      <c r="V195" s="21">
        <f>SUM(N$2:N196)</f>
        <v>626985.11400000053</v>
      </c>
    </row>
    <row r="196" spans="1:22" x14ac:dyDescent="0.25">
      <c r="A196" s="5" t="s">
        <v>512</v>
      </c>
      <c r="B196" s="6" t="s">
        <v>513</v>
      </c>
      <c r="C196" s="6" t="s">
        <v>514</v>
      </c>
      <c r="D196" s="7" t="s">
        <v>16</v>
      </c>
      <c r="E196" s="7" t="s">
        <v>91</v>
      </c>
      <c r="F196" s="7" t="s">
        <v>18</v>
      </c>
      <c r="G196" s="7" t="s">
        <v>97</v>
      </c>
      <c r="H196" s="7" t="s">
        <v>33</v>
      </c>
      <c r="I196" s="7" t="s">
        <v>153</v>
      </c>
      <c r="J196" s="7">
        <v>4</v>
      </c>
      <c r="K196" s="24">
        <v>36.89</v>
      </c>
      <c r="L196" s="8">
        <v>0.1</v>
      </c>
      <c r="M196" s="20">
        <v>21.66</v>
      </c>
      <c r="N196" s="21">
        <f>(Table1[[#This Row],[Quantity]]*Table1[[#This Row],[Unit Price]])*(1-Table1[[#This Row],[Discount]])</f>
        <v>132.804</v>
      </c>
      <c r="O196" s="21">
        <f>(Table1[[#This Row],[Unit Price]]-Table1[[#This Row],[Unit Cost]])*Table1[[#This Row],[Quantity]]</f>
        <v>60.92</v>
      </c>
      <c r="P196" s="9" t="str">
        <f t="shared" si="3"/>
        <v>Bulk</v>
      </c>
      <c r="Q196" s="9" t="str">
        <f>IF(Table1[[#This Row],[Discount]]&gt;=15%,"HIGH",IF(Table1[[#This Row],[Discount]]&gt;=55,"MEDIUM","NONE"))</f>
        <v>NONE</v>
      </c>
      <c r="R196" s="9">
        <f>Table1[[#This Row],[Ship Date]]-Table1[[#This Row],[Order Date]]</f>
        <v>5</v>
      </c>
      <c r="S196" s="9">
        <f>VLOOKUP(Table1[[#This Row],[Region]],Table2[],2,FALSE)</f>
        <v>140000</v>
      </c>
      <c r="T196" s="9">
        <f>INDEX(Table2[Quarterly Target],MATCH(Table1[[#This Row],[Region]],Table2[[Region ]],0))</f>
        <v>140000</v>
      </c>
      <c r="U196" s="9">
        <f>RANK(Table1[[#This Row],[Sales]],Table1[Sales])</f>
        <v>343</v>
      </c>
      <c r="V196" s="21">
        <f>SUM(N$2:N197)</f>
        <v>627166.64000000048</v>
      </c>
    </row>
    <row r="197" spans="1:22" x14ac:dyDescent="0.25">
      <c r="A197" s="5" t="s">
        <v>515</v>
      </c>
      <c r="B197" s="6" t="s">
        <v>516</v>
      </c>
      <c r="C197" s="6" t="s">
        <v>517</v>
      </c>
      <c r="D197" s="7" t="s">
        <v>30</v>
      </c>
      <c r="E197" s="7" t="s">
        <v>206</v>
      </c>
      <c r="F197" s="7" t="s">
        <v>43</v>
      </c>
      <c r="G197" s="7" t="s">
        <v>97</v>
      </c>
      <c r="H197" s="7" t="s">
        <v>33</v>
      </c>
      <c r="I197" s="7" t="s">
        <v>76</v>
      </c>
      <c r="J197" s="7">
        <v>19</v>
      </c>
      <c r="K197" s="24">
        <v>11.24</v>
      </c>
      <c r="L197" s="8">
        <v>0.15</v>
      </c>
      <c r="M197" s="20">
        <v>6.82</v>
      </c>
      <c r="N197" s="21">
        <f>(Table1[[#This Row],[Quantity]]*Table1[[#This Row],[Unit Price]])*(1-Table1[[#This Row],[Discount]])</f>
        <v>181.52600000000001</v>
      </c>
      <c r="O197" s="21">
        <f>(Table1[[#This Row],[Unit Price]]-Table1[[#This Row],[Unit Cost]])*Table1[[#This Row],[Quantity]]</f>
        <v>83.98</v>
      </c>
      <c r="P197" s="9" t="str">
        <f t="shared" si="3"/>
        <v>Standard</v>
      </c>
      <c r="Q197" s="9" t="str">
        <f>IF(Table1[[#This Row],[Discount]]&gt;=15%,"HIGH",IF(Table1[[#This Row],[Discount]]&gt;=55,"MEDIUM","NONE"))</f>
        <v>HIGH</v>
      </c>
      <c r="R197" s="9">
        <f>Table1[[#This Row],[Ship Date]]-Table1[[#This Row],[Order Date]]</f>
        <v>2</v>
      </c>
      <c r="S197" s="9">
        <f>VLOOKUP(Table1[[#This Row],[Region]],Table2[],2,FALSE)</f>
        <v>150000</v>
      </c>
      <c r="T197" s="9">
        <f>INDEX(Table2[Quarterly Target],MATCH(Table1[[#This Row],[Region]],Table2[[Region ]],0))</f>
        <v>150000</v>
      </c>
      <c r="U197" s="9">
        <f>RANK(Table1[[#This Row],[Sales]],Table1[Sales])</f>
        <v>324</v>
      </c>
      <c r="V197" s="21">
        <f>SUM(N$2:N198)</f>
        <v>627392.60000000044</v>
      </c>
    </row>
    <row r="198" spans="1:22" x14ac:dyDescent="0.25">
      <c r="A198" s="5" t="s">
        <v>518</v>
      </c>
      <c r="B198" s="6" t="s">
        <v>286</v>
      </c>
      <c r="C198" s="6" t="s">
        <v>261</v>
      </c>
      <c r="D198" s="7" t="s">
        <v>16</v>
      </c>
      <c r="E198" s="7" t="s">
        <v>122</v>
      </c>
      <c r="F198" s="7" t="s">
        <v>60</v>
      </c>
      <c r="G198" s="7" t="s">
        <v>82</v>
      </c>
      <c r="H198" s="7" t="s">
        <v>61</v>
      </c>
      <c r="I198" s="7" t="s">
        <v>62</v>
      </c>
      <c r="J198" s="7">
        <v>21</v>
      </c>
      <c r="K198" s="24">
        <v>10.76</v>
      </c>
      <c r="L198" s="8">
        <v>0</v>
      </c>
      <c r="M198" s="20">
        <v>6.14</v>
      </c>
      <c r="N198" s="21">
        <f>(Table1[[#This Row],[Quantity]]*Table1[[#This Row],[Unit Price]])*(1-Table1[[#This Row],[Discount]])</f>
        <v>225.96</v>
      </c>
      <c r="O198" s="21">
        <f>(Table1[[#This Row],[Unit Price]]-Table1[[#This Row],[Unit Cost]])*Table1[[#This Row],[Quantity]]</f>
        <v>97.02</v>
      </c>
      <c r="P198" s="9" t="str">
        <f t="shared" si="3"/>
        <v>Bulk</v>
      </c>
      <c r="Q198" s="9" t="str">
        <f>IF(Table1[[#This Row],[Discount]]&gt;=15%,"HIGH",IF(Table1[[#This Row],[Discount]]&gt;=55,"MEDIUM","NONE"))</f>
        <v>NONE</v>
      </c>
      <c r="R198" s="9">
        <f>Table1[[#This Row],[Ship Date]]-Table1[[#This Row],[Order Date]]</f>
        <v>7</v>
      </c>
      <c r="S198" s="9">
        <f>VLOOKUP(Table1[[#This Row],[Region]],Table2[],2,FALSE)</f>
        <v>160000</v>
      </c>
      <c r="T198" s="9">
        <f>INDEX(Table2[Quarterly Target],MATCH(Table1[[#This Row],[Region]],Table2[[Region ]],0))</f>
        <v>160000</v>
      </c>
      <c r="U198" s="9">
        <f>RANK(Table1[[#This Row],[Sales]],Table1[Sales])</f>
        <v>300</v>
      </c>
      <c r="V198" s="21">
        <f>SUM(N$2:N199)</f>
        <v>638732.37000000046</v>
      </c>
    </row>
    <row r="199" spans="1:22" x14ac:dyDescent="0.25">
      <c r="A199" s="5" t="s">
        <v>519</v>
      </c>
      <c r="B199" s="6" t="s">
        <v>520</v>
      </c>
      <c r="C199" s="6" t="s">
        <v>520</v>
      </c>
      <c r="D199" s="7" t="s">
        <v>24</v>
      </c>
      <c r="E199" s="7" t="s">
        <v>17</v>
      </c>
      <c r="F199" s="7" t="s">
        <v>43</v>
      </c>
      <c r="G199" s="7" t="s">
        <v>19</v>
      </c>
      <c r="H199" s="7" t="s">
        <v>20</v>
      </c>
      <c r="I199" s="7" t="s">
        <v>192</v>
      </c>
      <c r="J199" s="7">
        <v>19</v>
      </c>
      <c r="K199" s="24">
        <v>596.83000000000004</v>
      </c>
      <c r="L199" s="8">
        <v>0</v>
      </c>
      <c r="M199" s="20">
        <v>466.15</v>
      </c>
      <c r="N199" s="21">
        <f>(Table1[[#This Row],[Quantity]]*Table1[[#This Row],[Unit Price]])*(1-Table1[[#This Row],[Discount]])</f>
        <v>11339.77</v>
      </c>
      <c r="O199" s="21">
        <f>(Table1[[#This Row],[Unit Price]]-Table1[[#This Row],[Unit Cost]])*Table1[[#This Row],[Quantity]]</f>
        <v>2482.920000000001</v>
      </c>
      <c r="P199" s="9" t="str">
        <f t="shared" si="3"/>
        <v>Bulk</v>
      </c>
      <c r="Q199" s="9" t="str">
        <f>IF(Table1[[#This Row],[Discount]]&gt;=15%,"HIGH",IF(Table1[[#This Row],[Discount]]&gt;=55,"MEDIUM","NONE"))</f>
        <v>NONE</v>
      </c>
      <c r="R199" s="9">
        <f>Table1[[#This Row],[Ship Date]]-Table1[[#This Row],[Order Date]]</f>
        <v>0</v>
      </c>
      <c r="S199" s="9">
        <f>VLOOKUP(Table1[[#This Row],[Region]],Table2[],2,FALSE)</f>
        <v>150000</v>
      </c>
      <c r="T199" s="9">
        <f>INDEX(Table2[Quarterly Target],MATCH(Table1[[#This Row],[Region]],Table2[[Region ]],0))</f>
        <v>150000</v>
      </c>
      <c r="U199" s="9">
        <f>RANK(Table1[[#This Row],[Sales]],Table1[Sales])</f>
        <v>37</v>
      </c>
      <c r="V199" s="21">
        <f>SUM(N$2:N200)</f>
        <v>639217.27000000048</v>
      </c>
    </row>
    <row r="200" spans="1:22" x14ac:dyDescent="0.25">
      <c r="A200" s="5" t="s">
        <v>521</v>
      </c>
      <c r="B200" s="6" t="s">
        <v>522</v>
      </c>
      <c r="C200" s="6" t="s">
        <v>522</v>
      </c>
      <c r="D200" s="7" t="s">
        <v>24</v>
      </c>
      <c r="E200" s="7" t="s">
        <v>109</v>
      </c>
      <c r="F200" s="7" t="s">
        <v>25</v>
      </c>
      <c r="G200" s="7" t="s">
        <v>50</v>
      </c>
      <c r="H200" s="7" t="s">
        <v>33</v>
      </c>
      <c r="I200" s="7" t="s">
        <v>34</v>
      </c>
      <c r="J200" s="7">
        <v>13</v>
      </c>
      <c r="K200" s="24">
        <v>37.299999999999997</v>
      </c>
      <c r="L200" s="8">
        <v>0</v>
      </c>
      <c r="M200" s="20">
        <v>22.03</v>
      </c>
      <c r="N200" s="21">
        <f>(Table1[[#This Row],[Quantity]]*Table1[[#This Row],[Unit Price]])*(1-Table1[[#This Row],[Discount]])</f>
        <v>484.9</v>
      </c>
      <c r="O200" s="21">
        <f>(Table1[[#This Row],[Unit Price]]-Table1[[#This Row],[Unit Cost]])*Table1[[#This Row],[Quantity]]</f>
        <v>198.50999999999993</v>
      </c>
      <c r="P200" s="9" t="str">
        <f t="shared" si="3"/>
        <v>Bulk</v>
      </c>
      <c r="Q200" s="9" t="str">
        <f>IF(Table1[[#This Row],[Discount]]&gt;=15%,"HIGH",IF(Table1[[#This Row],[Discount]]&gt;=55,"MEDIUM","NONE"))</f>
        <v>NONE</v>
      </c>
      <c r="R200" s="9">
        <f>Table1[[#This Row],[Ship Date]]-Table1[[#This Row],[Order Date]]</f>
        <v>0</v>
      </c>
      <c r="S200" s="9">
        <f>VLOOKUP(Table1[[#This Row],[Region]],Table2[],2,FALSE)</f>
        <v>130000</v>
      </c>
      <c r="T200" s="9">
        <f>INDEX(Table2[Quarterly Target],MATCH(Table1[[#This Row],[Region]],Table2[[Region ]],0))</f>
        <v>130000</v>
      </c>
      <c r="U200" s="9">
        <f>RANK(Table1[[#This Row],[Sales]],Table1[Sales])</f>
        <v>227</v>
      </c>
      <c r="V200" s="21">
        <f>SUM(N$2:N201)</f>
        <v>639276.82200000051</v>
      </c>
    </row>
    <row r="201" spans="1:22" x14ac:dyDescent="0.25">
      <c r="A201" s="5" t="s">
        <v>523</v>
      </c>
      <c r="B201" s="6" t="s">
        <v>357</v>
      </c>
      <c r="C201" s="6" t="s">
        <v>344</v>
      </c>
      <c r="D201" s="7" t="s">
        <v>16</v>
      </c>
      <c r="E201" s="7" t="s">
        <v>49</v>
      </c>
      <c r="F201" s="7" t="s">
        <v>25</v>
      </c>
      <c r="G201" s="7" t="s">
        <v>32</v>
      </c>
      <c r="H201" s="7" t="s">
        <v>33</v>
      </c>
      <c r="I201" s="7" t="s">
        <v>76</v>
      </c>
      <c r="J201" s="7">
        <v>4</v>
      </c>
      <c r="K201" s="24">
        <v>18.61</v>
      </c>
      <c r="L201" s="8">
        <v>0.2</v>
      </c>
      <c r="M201" s="20">
        <v>10.59</v>
      </c>
      <c r="N201" s="21">
        <f>(Table1[[#This Row],[Quantity]]*Table1[[#This Row],[Unit Price]])*(1-Table1[[#This Row],[Discount]])</f>
        <v>59.552</v>
      </c>
      <c r="O201" s="21">
        <f>(Table1[[#This Row],[Unit Price]]-Table1[[#This Row],[Unit Cost]])*Table1[[#This Row],[Quantity]]</f>
        <v>32.08</v>
      </c>
      <c r="P201" s="9" t="str">
        <f t="shared" si="3"/>
        <v>Bulk</v>
      </c>
      <c r="Q201" s="9" t="str">
        <f>IF(Table1[[#This Row],[Discount]]&gt;=15%,"HIGH",IF(Table1[[#This Row],[Discount]]&gt;=55,"MEDIUM","NONE"))</f>
        <v>HIGH</v>
      </c>
      <c r="R201" s="9">
        <f>Table1[[#This Row],[Ship Date]]-Table1[[#This Row],[Order Date]]</f>
        <v>7</v>
      </c>
      <c r="S201" s="9">
        <f>VLOOKUP(Table1[[#This Row],[Region]],Table2[],2,FALSE)</f>
        <v>130000</v>
      </c>
      <c r="T201" s="9">
        <f>INDEX(Table2[Quarterly Target],MATCH(Table1[[#This Row],[Region]],Table2[[Region ]],0))</f>
        <v>130000</v>
      </c>
      <c r="U201" s="9">
        <f>RANK(Table1[[#This Row],[Sales]],Table1[Sales])</f>
        <v>374</v>
      </c>
      <c r="V201" s="21">
        <f>SUM(N$2:N202)</f>
        <v>639480.25250000053</v>
      </c>
    </row>
    <row r="202" spans="1:22" x14ac:dyDescent="0.25">
      <c r="A202" s="5" t="s">
        <v>524</v>
      </c>
      <c r="B202" s="6" t="s">
        <v>525</v>
      </c>
      <c r="C202" s="6" t="s">
        <v>525</v>
      </c>
      <c r="D202" s="7" t="s">
        <v>24</v>
      </c>
      <c r="E202" s="7" t="s">
        <v>17</v>
      </c>
      <c r="F202" s="7" t="s">
        <v>60</v>
      </c>
      <c r="G202" s="7" t="s">
        <v>32</v>
      </c>
      <c r="H202" s="7" t="s">
        <v>33</v>
      </c>
      <c r="I202" s="7" t="s">
        <v>76</v>
      </c>
      <c r="J202" s="7">
        <v>13</v>
      </c>
      <c r="K202" s="24">
        <v>18.41</v>
      </c>
      <c r="L202" s="8">
        <v>0.15</v>
      </c>
      <c r="M202" s="20">
        <v>12.82</v>
      </c>
      <c r="N202" s="21">
        <f>(Table1[[#This Row],[Quantity]]*Table1[[#This Row],[Unit Price]])*(1-Table1[[#This Row],[Discount]])</f>
        <v>203.43049999999999</v>
      </c>
      <c r="O202" s="21">
        <f>(Table1[[#This Row],[Unit Price]]-Table1[[#This Row],[Unit Cost]])*Table1[[#This Row],[Quantity]]</f>
        <v>72.67</v>
      </c>
      <c r="P202" s="9" t="str">
        <f t="shared" si="3"/>
        <v>Standard</v>
      </c>
      <c r="Q202" s="9" t="str">
        <f>IF(Table1[[#This Row],[Discount]]&gt;=15%,"HIGH",IF(Table1[[#This Row],[Discount]]&gt;=55,"MEDIUM","NONE"))</f>
        <v>HIGH</v>
      </c>
      <c r="R202" s="9">
        <f>Table1[[#This Row],[Ship Date]]-Table1[[#This Row],[Order Date]]</f>
        <v>0</v>
      </c>
      <c r="S202" s="9">
        <f>VLOOKUP(Table1[[#This Row],[Region]],Table2[],2,FALSE)</f>
        <v>160000</v>
      </c>
      <c r="T202" s="9">
        <f>INDEX(Table2[Quarterly Target],MATCH(Table1[[#This Row],[Region]],Table2[[Region ]],0))</f>
        <v>160000</v>
      </c>
      <c r="U202" s="9">
        <f>RANK(Table1[[#This Row],[Sales]],Table1[Sales])</f>
        <v>312</v>
      </c>
      <c r="V202" s="21">
        <f>SUM(N$2:N203)</f>
        <v>639801.14450000052</v>
      </c>
    </row>
    <row r="203" spans="1:22" x14ac:dyDescent="0.25">
      <c r="A203" s="5" t="s">
        <v>526</v>
      </c>
      <c r="B203" s="6" t="s">
        <v>527</v>
      </c>
      <c r="C203" s="6" t="s">
        <v>417</v>
      </c>
      <c r="D203" s="7" t="s">
        <v>16</v>
      </c>
      <c r="E203" s="7" t="s">
        <v>49</v>
      </c>
      <c r="F203" s="7" t="s">
        <v>43</v>
      </c>
      <c r="G203" s="7" t="s">
        <v>44</v>
      </c>
      <c r="H203" s="7" t="s">
        <v>33</v>
      </c>
      <c r="I203" s="7" t="s">
        <v>51</v>
      </c>
      <c r="J203" s="7">
        <v>13</v>
      </c>
      <c r="K203" s="24">
        <v>29.04</v>
      </c>
      <c r="L203" s="8">
        <v>0.15</v>
      </c>
      <c r="M203" s="20">
        <v>17.09</v>
      </c>
      <c r="N203" s="21">
        <f>(Table1[[#This Row],[Quantity]]*Table1[[#This Row],[Unit Price]])*(1-Table1[[#This Row],[Discount]])</f>
        <v>320.892</v>
      </c>
      <c r="O203" s="21">
        <f>(Table1[[#This Row],[Unit Price]]-Table1[[#This Row],[Unit Cost]])*Table1[[#This Row],[Quantity]]</f>
        <v>155.35</v>
      </c>
      <c r="P203" s="9" t="str">
        <f t="shared" si="3"/>
        <v>Bulk</v>
      </c>
      <c r="Q203" s="9" t="str">
        <f>IF(Table1[[#This Row],[Discount]]&gt;=15%,"HIGH",IF(Table1[[#This Row],[Discount]]&gt;=55,"MEDIUM","NONE"))</f>
        <v>HIGH</v>
      </c>
      <c r="R203" s="9">
        <f>Table1[[#This Row],[Ship Date]]-Table1[[#This Row],[Order Date]]</f>
        <v>7</v>
      </c>
      <c r="S203" s="9">
        <f>VLOOKUP(Table1[[#This Row],[Region]],Table2[],2,FALSE)</f>
        <v>150000</v>
      </c>
      <c r="T203" s="9">
        <f>INDEX(Table2[Quarterly Target],MATCH(Table1[[#This Row],[Region]],Table2[[Region ]],0))</f>
        <v>150000</v>
      </c>
      <c r="U203" s="9">
        <f>RANK(Table1[[#This Row],[Sales]],Table1[Sales])</f>
        <v>265</v>
      </c>
      <c r="V203" s="21">
        <f>SUM(N$2:N204)</f>
        <v>648806.89450000052</v>
      </c>
    </row>
    <row r="204" spans="1:22" x14ac:dyDescent="0.25">
      <c r="A204" s="5" t="s">
        <v>528</v>
      </c>
      <c r="B204" s="6" t="s">
        <v>529</v>
      </c>
      <c r="C204" s="6" t="s">
        <v>395</v>
      </c>
      <c r="D204" s="7" t="s">
        <v>30</v>
      </c>
      <c r="E204" s="7" t="s">
        <v>214</v>
      </c>
      <c r="F204" s="7" t="s">
        <v>43</v>
      </c>
      <c r="G204" s="7" t="s">
        <v>82</v>
      </c>
      <c r="H204" s="7" t="s">
        <v>20</v>
      </c>
      <c r="I204" s="7" t="s">
        <v>21</v>
      </c>
      <c r="J204" s="7">
        <v>25</v>
      </c>
      <c r="K204" s="24">
        <v>360.23</v>
      </c>
      <c r="L204" s="8">
        <v>0</v>
      </c>
      <c r="M204" s="20">
        <v>205.99</v>
      </c>
      <c r="N204" s="21">
        <f>(Table1[[#This Row],[Quantity]]*Table1[[#This Row],[Unit Price]])*(1-Table1[[#This Row],[Discount]])</f>
        <v>9005.75</v>
      </c>
      <c r="O204" s="21">
        <f>(Table1[[#This Row],[Unit Price]]-Table1[[#This Row],[Unit Cost]])*Table1[[#This Row],[Quantity]]</f>
        <v>3856</v>
      </c>
      <c r="P204" s="9" t="str">
        <f t="shared" si="3"/>
        <v>Bulk</v>
      </c>
      <c r="Q204" s="9" t="str">
        <f>IF(Table1[[#This Row],[Discount]]&gt;=15%,"HIGH",IF(Table1[[#This Row],[Discount]]&gt;=55,"MEDIUM","NONE"))</f>
        <v>NONE</v>
      </c>
      <c r="R204" s="9">
        <f>Table1[[#This Row],[Ship Date]]-Table1[[#This Row],[Order Date]]</f>
        <v>3</v>
      </c>
      <c r="S204" s="9">
        <f>VLOOKUP(Table1[[#This Row],[Region]],Table2[],2,FALSE)</f>
        <v>150000</v>
      </c>
      <c r="T204" s="9">
        <f>INDEX(Table2[Quarterly Target],MATCH(Table1[[#This Row],[Region]],Table2[[Region ]],0))</f>
        <v>150000</v>
      </c>
      <c r="U204" s="9">
        <f>RANK(Table1[[#This Row],[Sales]],Table1[Sales])</f>
        <v>49</v>
      </c>
      <c r="V204" s="21">
        <f>SUM(N$2:N205)</f>
        <v>648945.4945000005</v>
      </c>
    </row>
    <row r="205" spans="1:22" x14ac:dyDescent="0.25">
      <c r="A205" s="5" t="s">
        <v>530</v>
      </c>
      <c r="B205" s="6" t="s">
        <v>507</v>
      </c>
      <c r="C205" s="6" t="s">
        <v>507</v>
      </c>
      <c r="D205" s="7" t="s">
        <v>24</v>
      </c>
      <c r="E205" s="7" t="s">
        <v>49</v>
      </c>
      <c r="F205" s="7" t="s">
        <v>43</v>
      </c>
      <c r="G205" s="7" t="s">
        <v>32</v>
      </c>
      <c r="H205" s="7" t="s">
        <v>61</v>
      </c>
      <c r="I205" s="7" t="s">
        <v>106</v>
      </c>
      <c r="J205" s="7">
        <v>3</v>
      </c>
      <c r="K205" s="24">
        <v>57.75</v>
      </c>
      <c r="L205" s="8">
        <v>0.2</v>
      </c>
      <c r="M205" s="20">
        <v>36.450000000000003</v>
      </c>
      <c r="N205" s="21">
        <f>(Table1[[#This Row],[Quantity]]*Table1[[#This Row],[Unit Price]])*(1-Table1[[#This Row],[Discount]])</f>
        <v>138.6</v>
      </c>
      <c r="O205" s="21">
        <f>(Table1[[#This Row],[Unit Price]]-Table1[[#This Row],[Unit Cost]])*Table1[[#This Row],[Quantity]]</f>
        <v>63.899999999999991</v>
      </c>
      <c r="P205" s="9" t="str">
        <f t="shared" si="3"/>
        <v>Bulk</v>
      </c>
      <c r="Q205" s="9" t="str">
        <f>IF(Table1[[#This Row],[Discount]]&gt;=15%,"HIGH",IF(Table1[[#This Row],[Discount]]&gt;=55,"MEDIUM","NONE"))</f>
        <v>HIGH</v>
      </c>
      <c r="R205" s="9">
        <f>Table1[[#This Row],[Ship Date]]-Table1[[#This Row],[Order Date]]</f>
        <v>0</v>
      </c>
      <c r="S205" s="9">
        <f>VLOOKUP(Table1[[#This Row],[Region]],Table2[],2,FALSE)</f>
        <v>150000</v>
      </c>
      <c r="T205" s="9">
        <f>INDEX(Table2[Quarterly Target],MATCH(Table1[[#This Row],[Region]],Table2[[Region ]],0))</f>
        <v>150000</v>
      </c>
      <c r="U205" s="9">
        <f>RANK(Table1[[#This Row],[Sales]],Table1[Sales])</f>
        <v>339</v>
      </c>
      <c r="V205" s="21">
        <f>SUM(N$2:N206)</f>
        <v>649326.15000000049</v>
      </c>
    </row>
    <row r="206" spans="1:22" x14ac:dyDescent="0.25">
      <c r="A206" s="5" t="s">
        <v>531</v>
      </c>
      <c r="B206" s="6" t="s">
        <v>532</v>
      </c>
      <c r="C206" s="6" t="s">
        <v>532</v>
      </c>
      <c r="D206" s="7" t="s">
        <v>24</v>
      </c>
      <c r="E206" s="7" t="s">
        <v>122</v>
      </c>
      <c r="F206" s="7" t="s">
        <v>43</v>
      </c>
      <c r="G206" s="7" t="s">
        <v>19</v>
      </c>
      <c r="H206" s="7" t="s">
        <v>61</v>
      </c>
      <c r="I206" s="7" t="s">
        <v>62</v>
      </c>
      <c r="J206" s="7">
        <v>17</v>
      </c>
      <c r="K206" s="24">
        <v>23.57</v>
      </c>
      <c r="L206" s="8">
        <v>0.05</v>
      </c>
      <c r="M206" s="20">
        <v>13.96</v>
      </c>
      <c r="N206" s="21">
        <f>(Table1[[#This Row],[Quantity]]*Table1[[#This Row],[Unit Price]])*(1-Table1[[#This Row],[Discount]])</f>
        <v>380.65549999999996</v>
      </c>
      <c r="O206" s="21">
        <f>(Table1[[#This Row],[Unit Price]]-Table1[[#This Row],[Unit Cost]])*Table1[[#This Row],[Quantity]]</f>
        <v>163.37</v>
      </c>
      <c r="P206" s="9" t="str">
        <f t="shared" si="3"/>
        <v>Standard</v>
      </c>
      <c r="Q206" s="9" t="str">
        <f>IF(Table1[[#This Row],[Discount]]&gt;=15%,"HIGH",IF(Table1[[#This Row],[Discount]]&gt;=55,"MEDIUM","NONE"))</f>
        <v>NONE</v>
      </c>
      <c r="R206" s="9">
        <f>Table1[[#This Row],[Ship Date]]-Table1[[#This Row],[Order Date]]</f>
        <v>0</v>
      </c>
      <c r="S206" s="9">
        <f>VLOOKUP(Table1[[#This Row],[Region]],Table2[],2,FALSE)</f>
        <v>150000</v>
      </c>
      <c r="T206" s="9">
        <f>INDEX(Table2[Quarterly Target],MATCH(Table1[[#This Row],[Region]],Table2[[Region ]],0))</f>
        <v>150000</v>
      </c>
      <c r="U206" s="9">
        <f>RANK(Table1[[#This Row],[Sales]],Table1[Sales])</f>
        <v>251</v>
      </c>
      <c r="V206" s="21">
        <f>SUM(N$2:N207)</f>
        <v>649706.72600000049</v>
      </c>
    </row>
    <row r="207" spans="1:22" x14ac:dyDescent="0.25">
      <c r="A207" s="5" t="s">
        <v>533</v>
      </c>
      <c r="B207" s="6" t="s">
        <v>534</v>
      </c>
      <c r="C207" s="6" t="s">
        <v>535</v>
      </c>
      <c r="D207" s="7" t="s">
        <v>30</v>
      </c>
      <c r="E207" s="7" t="s">
        <v>78</v>
      </c>
      <c r="F207" s="7" t="s">
        <v>43</v>
      </c>
      <c r="G207" s="7" t="s">
        <v>97</v>
      </c>
      <c r="H207" s="7" t="s">
        <v>61</v>
      </c>
      <c r="I207" s="7" t="s">
        <v>88</v>
      </c>
      <c r="J207" s="7">
        <v>14</v>
      </c>
      <c r="K207" s="24">
        <v>33.979999999999997</v>
      </c>
      <c r="L207" s="8">
        <v>0.2</v>
      </c>
      <c r="M207" s="20">
        <v>19.34</v>
      </c>
      <c r="N207" s="21">
        <f>(Table1[[#This Row],[Quantity]]*Table1[[#This Row],[Unit Price]])*(1-Table1[[#This Row],[Discount]])</f>
        <v>380.57600000000002</v>
      </c>
      <c r="O207" s="21">
        <f>(Table1[[#This Row],[Unit Price]]-Table1[[#This Row],[Unit Cost]])*Table1[[#This Row],[Quantity]]</f>
        <v>204.95999999999995</v>
      </c>
      <c r="P207" s="9" t="str">
        <f t="shared" si="3"/>
        <v>Bulk</v>
      </c>
      <c r="Q207" s="9" t="str">
        <f>IF(Table1[[#This Row],[Discount]]&gt;=15%,"HIGH",IF(Table1[[#This Row],[Discount]]&gt;=55,"MEDIUM","NONE"))</f>
        <v>HIGH</v>
      </c>
      <c r="R207" s="9">
        <f>Table1[[#This Row],[Ship Date]]-Table1[[#This Row],[Order Date]]</f>
        <v>2</v>
      </c>
      <c r="S207" s="9">
        <f>VLOOKUP(Table1[[#This Row],[Region]],Table2[],2,FALSE)</f>
        <v>150000</v>
      </c>
      <c r="T207" s="9">
        <f>INDEX(Table2[Quarterly Target],MATCH(Table1[[#This Row],[Region]],Table2[[Region ]],0))</f>
        <v>150000</v>
      </c>
      <c r="U207" s="9">
        <f>RANK(Table1[[#This Row],[Sales]],Table1[Sales])</f>
        <v>252</v>
      </c>
      <c r="V207" s="21">
        <f>SUM(N$2:N208)</f>
        <v>649869.98350000044</v>
      </c>
    </row>
    <row r="208" spans="1:22" x14ac:dyDescent="0.25">
      <c r="A208" s="5" t="s">
        <v>536</v>
      </c>
      <c r="B208" s="6" t="s">
        <v>417</v>
      </c>
      <c r="C208" s="6" t="s">
        <v>377</v>
      </c>
      <c r="D208" s="7" t="s">
        <v>16</v>
      </c>
      <c r="E208" s="7" t="s">
        <v>87</v>
      </c>
      <c r="F208" s="7" t="s">
        <v>38</v>
      </c>
      <c r="G208" s="7" t="s">
        <v>82</v>
      </c>
      <c r="H208" s="7" t="s">
        <v>61</v>
      </c>
      <c r="I208" s="7" t="s">
        <v>72</v>
      </c>
      <c r="J208" s="7">
        <v>5</v>
      </c>
      <c r="K208" s="24">
        <v>34.369999999999997</v>
      </c>
      <c r="L208" s="8">
        <v>0.05</v>
      </c>
      <c r="M208" s="20">
        <v>21.76</v>
      </c>
      <c r="N208" s="21">
        <f>(Table1[[#This Row],[Quantity]]*Table1[[#This Row],[Unit Price]])*(1-Table1[[#This Row],[Discount]])</f>
        <v>163.25749999999999</v>
      </c>
      <c r="O208" s="21">
        <f>(Table1[[#This Row],[Unit Price]]-Table1[[#This Row],[Unit Cost]])*Table1[[#This Row],[Quantity]]</f>
        <v>63.049999999999983</v>
      </c>
      <c r="P208" s="9" t="str">
        <f t="shared" si="3"/>
        <v>Bulk</v>
      </c>
      <c r="Q208" s="9" t="str">
        <f>IF(Table1[[#This Row],[Discount]]&gt;=15%,"HIGH",IF(Table1[[#This Row],[Discount]]&gt;=55,"MEDIUM","NONE"))</f>
        <v>NONE</v>
      </c>
      <c r="R208" s="9">
        <f>Table1[[#This Row],[Ship Date]]-Table1[[#This Row],[Order Date]]</f>
        <v>7</v>
      </c>
      <c r="S208" s="9">
        <f>VLOOKUP(Table1[[#This Row],[Region]],Table2[],2,FALSE)</f>
        <v>120000</v>
      </c>
      <c r="T208" s="9">
        <f>INDEX(Table2[Quarterly Target],MATCH(Table1[[#This Row],[Region]],Table2[[Region ]],0))</f>
        <v>120000</v>
      </c>
      <c r="U208" s="9">
        <f>RANK(Table1[[#This Row],[Sales]],Table1[Sales])</f>
        <v>329</v>
      </c>
      <c r="V208" s="21">
        <f>SUM(N$2:N209)</f>
        <v>650629.98350000044</v>
      </c>
    </row>
    <row r="209" spans="1:22" x14ac:dyDescent="0.25">
      <c r="A209" s="5" t="s">
        <v>537</v>
      </c>
      <c r="B209" s="6" t="s">
        <v>538</v>
      </c>
      <c r="C209" s="6" t="s">
        <v>101</v>
      </c>
      <c r="D209" s="7" t="s">
        <v>30</v>
      </c>
      <c r="E209" s="7" t="s">
        <v>59</v>
      </c>
      <c r="F209" s="7" t="s">
        <v>38</v>
      </c>
      <c r="G209" s="7" t="s">
        <v>44</v>
      </c>
      <c r="H209" s="7" t="s">
        <v>33</v>
      </c>
      <c r="I209" s="7" t="s">
        <v>76</v>
      </c>
      <c r="J209" s="7">
        <v>20</v>
      </c>
      <c r="K209" s="24">
        <v>38</v>
      </c>
      <c r="L209" s="8">
        <v>0</v>
      </c>
      <c r="M209" s="20">
        <v>25.45</v>
      </c>
      <c r="N209" s="21">
        <f>(Table1[[#This Row],[Quantity]]*Table1[[#This Row],[Unit Price]])*(1-Table1[[#This Row],[Discount]])</f>
        <v>760</v>
      </c>
      <c r="O209" s="21">
        <f>(Table1[[#This Row],[Unit Price]]-Table1[[#This Row],[Unit Cost]])*Table1[[#This Row],[Quantity]]</f>
        <v>251</v>
      </c>
      <c r="P209" s="9" t="str">
        <f t="shared" si="3"/>
        <v>Standard</v>
      </c>
      <c r="Q209" s="9" t="str">
        <f>IF(Table1[[#This Row],[Discount]]&gt;=15%,"HIGH",IF(Table1[[#This Row],[Discount]]&gt;=55,"MEDIUM","NONE"))</f>
        <v>NONE</v>
      </c>
      <c r="R209" s="9">
        <f>Table1[[#This Row],[Ship Date]]-Table1[[#This Row],[Order Date]]</f>
        <v>3</v>
      </c>
      <c r="S209" s="9">
        <f>VLOOKUP(Table1[[#This Row],[Region]],Table2[],2,FALSE)</f>
        <v>120000</v>
      </c>
      <c r="T209" s="9">
        <f>INDEX(Table2[Quarterly Target],MATCH(Table1[[#This Row],[Region]],Table2[[Region ]],0))</f>
        <v>120000</v>
      </c>
      <c r="U209" s="9">
        <f>RANK(Table1[[#This Row],[Sales]],Table1[Sales])</f>
        <v>195</v>
      </c>
      <c r="V209" s="21">
        <f>SUM(N$2:N210)</f>
        <v>650912.39000000048</v>
      </c>
    </row>
    <row r="210" spans="1:22" x14ac:dyDescent="0.25">
      <c r="A210" s="5" t="s">
        <v>539</v>
      </c>
      <c r="B210" s="6" t="s">
        <v>540</v>
      </c>
      <c r="C210" s="6" t="s">
        <v>541</v>
      </c>
      <c r="D210" s="7" t="s">
        <v>30</v>
      </c>
      <c r="E210" s="7" t="s">
        <v>17</v>
      </c>
      <c r="F210" s="7" t="s">
        <v>38</v>
      </c>
      <c r="G210" s="7" t="s">
        <v>32</v>
      </c>
      <c r="H210" s="7" t="s">
        <v>33</v>
      </c>
      <c r="I210" s="7" t="s">
        <v>76</v>
      </c>
      <c r="J210" s="7">
        <v>9</v>
      </c>
      <c r="K210" s="24">
        <v>33.03</v>
      </c>
      <c r="L210" s="8">
        <v>0.05</v>
      </c>
      <c r="M210" s="20">
        <v>21.18</v>
      </c>
      <c r="N210" s="21">
        <f>(Table1[[#This Row],[Quantity]]*Table1[[#This Row],[Unit Price]])*(1-Table1[[#This Row],[Discount]])</f>
        <v>282.40649999999999</v>
      </c>
      <c r="O210" s="21">
        <f>(Table1[[#This Row],[Unit Price]]-Table1[[#This Row],[Unit Cost]])*Table1[[#This Row],[Quantity]]</f>
        <v>106.65</v>
      </c>
      <c r="P210" s="9" t="str">
        <f t="shared" si="3"/>
        <v>Bulk</v>
      </c>
      <c r="Q210" s="9" t="str">
        <f>IF(Table1[[#This Row],[Discount]]&gt;=15%,"HIGH",IF(Table1[[#This Row],[Discount]]&gt;=55,"MEDIUM","NONE"))</f>
        <v>NONE</v>
      </c>
      <c r="R210" s="9">
        <f>Table1[[#This Row],[Ship Date]]-Table1[[#This Row],[Order Date]]</f>
        <v>2</v>
      </c>
      <c r="S210" s="9">
        <f>VLOOKUP(Table1[[#This Row],[Region]],Table2[],2,FALSE)</f>
        <v>120000</v>
      </c>
      <c r="T210" s="9">
        <f>INDEX(Table2[Quarterly Target],MATCH(Table1[[#This Row],[Region]],Table2[[Region ]],0))</f>
        <v>120000</v>
      </c>
      <c r="U210" s="9">
        <f>RANK(Table1[[#This Row],[Sales]],Table1[Sales])</f>
        <v>282</v>
      </c>
      <c r="V210" s="21">
        <f>SUM(N$2:N211)</f>
        <v>653295.74200000043</v>
      </c>
    </row>
    <row r="211" spans="1:22" x14ac:dyDescent="0.25">
      <c r="A211" s="5" t="s">
        <v>542</v>
      </c>
      <c r="B211" s="6" t="s">
        <v>543</v>
      </c>
      <c r="C211" s="6" t="s">
        <v>544</v>
      </c>
      <c r="D211" s="7" t="s">
        <v>30</v>
      </c>
      <c r="E211" s="7" t="s">
        <v>87</v>
      </c>
      <c r="F211" s="7" t="s">
        <v>60</v>
      </c>
      <c r="G211" s="7" t="s">
        <v>82</v>
      </c>
      <c r="H211" s="7" t="s">
        <v>20</v>
      </c>
      <c r="I211" s="7" t="s">
        <v>151</v>
      </c>
      <c r="J211" s="7">
        <v>23</v>
      </c>
      <c r="K211" s="24">
        <v>129.53</v>
      </c>
      <c r="L211" s="8">
        <v>0.2</v>
      </c>
      <c r="M211" s="20">
        <v>97.01</v>
      </c>
      <c r="N211" s="21">
        <f>(Table1[[#This Row],[Quantity]]*Table1[[#This Row],[Unit Price]])*(1-Table1[[#This Row],[Discount]])</f>
        <v>2383.3520000000003</v>
      </c>
      <c r="O211" s="21">
        <f>(Table1[[#This Row],[Unit Price]]-Table1[[#This Row],[Unit Cost]])*Table1[[#This Row],[Quantity]]</f>
        <v>747.95999999999992</v>
      </c>
      <c r="P211" s="9" t="str">
        <f t="shared" si="3"/>
        <v>Standard</v>
      </c>
      <c r="Q211" s="9" t="str">
        <f>IF(Table1[[#This Row],[Discount]]&gt;=15%,"HIGH",IF(Table1[[#This Row],[Discount]]&gt;=55,"MEDIUM","NONE"))</f>
        <v>HIGH</v>
      </c>
      <c r="R211" s="9">
        <f>Table1[[#This Row],[Ship Date]]-Table1[[#This Row],[Order Date]]</f>
        <v>3</v>
      </c>
      <c r="S211" s="9">
        <f>VLOOKUP(Table1[[#This Row],[Region]],Table2[],2,FALSE)</f>
        <v>160000</v>
      </c>
      <c r="T211" s="9">
        <f>INDEX(Table2[Quarterly Target],MATCH(Table1[[#This Row],[Region]],Table2[[Region ]],0))</f>
        <v>160000</v>
      </c>
      <c r="U211" s="9">
        <f>RANK(Table1[[#This Row],[Sales]],Table1[Sales])</f>
        <v>129</v>
      </c>
      <c r="V211" s="21">
        <f>SUM(N$2:N212)</f>
        <v>653347.20400000049</v>
      </c>
    </row>
    <row r="212" spans="1:22" x14ac:dyDescent="0.25">
      <c r="A212" s="5" t="s">
        <v>545</v>
      </c>
      <c r="B212" s="6" t="s">
        <v>546</v>
      </c>
      <c r="C212" s="6" t="s">
        <v>547</v>
      </c>
      <c r="D212" s="7" t="s">
        <v>30</v>
      </c>
      <c r="E212" s="7" t="s">
        <v>59</v>
      </c>
      <c r="F212" s="7" t="s">
        <v>18</v>
      </c>
      <c r="G212" s="7" t="s">
        <v>97</v>
      </c>
      <c r="H212" s="7" t="s">
        <v>33</v>
      </c>
      <c r="I212" s="7" t="s">
        <v>51</v>
      </c>
      <c r="J212" s="7">
        <v>3</v>
      </c>
      <c r="K212" s="24">
        <v>19.059999999999999</v>
      </c>
      <c r="L212" s="8">
        <v>0.1</v>
      </c>
      <c r="M212" s="20">
        <v>12.77</v>
      </c>
      <c r="N212" s="21">
        <f>(Table1[[#This Row],[Quantity]]*Table1[[#This Row],[Unit Price]])*(1-Table1[[#This Row],[Discount]])</f>
        <v>51.461999999999996</v>
      </c>
      <c r="O212" s="21">
        <f>(Table1[[#This Row],[Unit Price]]-Table1[[#This Row],[Unit Cost]])*Table1[[#This Row],[Quantity]]</f>
        <v>18.869999999999997</v>
      </c>
      <c r="P212" s="9" t="str">
        <f t="shared" si="3"/>
        <v>Bulk</v>
      </c>
      <c r="Q212" s="9" t="str">
        <f>IF(Table1[[#This Row],[Discount]]&gt;=15%,"HIGH",IF(Table1[[#This Row],[Discount]]&gt;=55,"MEDIUM","NONE"))</f>
        <v>NONE</v>
      </c>
      <c r="R212" s="9">
        <f>Table1[[#This Row],[Ship Date]]-Table1[[#This Row],[Order Date]]</f>
        <v>3</v>
      </c>
      <c r="S212" s="9">
        <f>VLOOKUP(Table1[[#This Row],[Region]],Table2[],2,FALSE)</f>
        <v>140000</v>
      </c>
      <c r="T212" s="9">
        <f>INDEX(Table2[Quarterly Target],MATCH(Table1[[#This Row],[Region]],Table2[[Region ]],0))</f>
        <v>140000</v>
      </c>
      <c r="U212" s="9">
        <f>RANK(Table1[[#This Row],[Sales]],Table1[Sales])</f>
        <v>379</v>
      </c>
      <c r="V212" s="21">
        <f>SUM(N$2:N213)</f>
        <v>660475.94150000054</v>
      </c>
    </row>
    <row r="213" spans="1:22" x14ac:dyDescent="0.25">
      <c r="A213" s="5" t="s">
        <v>548</v>
      </c>
      <c r="B213" s="6" t="s">
        <v>549</v>
      </c>
      <c r="C213" s="6" t="s">
        <v>510</v>
      </c>
      <c r="D213" s="7" t="s">
        <v>16</v>
      </c>
      <c r="E213" s="7" t="s">
        <v>112</v>
      </c>
      <c r="F213" s="7" t="s">
        <v>38</v>
      </c>
      <c r="G213" s="7" t="s">
        <v>67</v>
      </c>
      <c r="H213" s="7" t="s">
        <v>20</v>
      </c>
      <c r="I213" s="7" t="s">
        <v>134</v>
      </c>
      <c r="J213" s="7">
        <v>25</v>
      </c>
      <c r="K213" s="24">
        <v>335.47</v>
      </c>
      <c r="L213" s="8">
        <v>0.15</v>
      </c>
      <c r="M213" s="20">
        <v>214.28</v>
      </c>
      <c r="N213" s="21">
        <f>(Table1[[#This Row],[Quantity]]*Table1[[#This Row],[Unit Price]])*(1-Table1[[#This Row],[Discount]])</f>
        <v>7128.7375000000002</v>
      </c>
      <c r="O213" s="21">
        <f>(Table1[[#This Row],[Unit Price]]-Table1[[#This Row],[Unit Cost]])*Table1[[#This Row],[Quantity]]</f>
        <v>3029.7500000000005</v>
      </c>
      <c r="P213" s="9" t="str">
        <f t="shared" si="3"/>
        <v>Standard</v>
      </c>
      <c r="Q213" s="9" t="str">
        <f>IF(Table1[[#This Row],[Discount]]&gt;=15%,"HIGH",IF(Table1[[#This Row],[Discount]]&gt;=55,"MEDIUM","NONE"))</f>
        <v>HIGH</v>
      </c>
      <c r="R213" s="9">
        <f>Table1[[#This Row],[Ship Date]]-Table1[[#This Row],[Order Date]]</f>
        <v>4</v>
      </c>
      <c r="S213" s="9">
        <f>VLOOKUP(Table1[[#This Row],[Region]],Table2[],2,FALSE)</f>
        <v>120000</v>
      </c>
      <c r="T213" s="9">
        <f>INDEX(Table2[Quarterly Target],MATCH(Table1[[#This Row],[Region]],Table2[[Region ]],0))</f>
        <v>120000</v>
      </c>
      <c r="U213" s="9">
        <f>RANK(Table1[[#This Row],[Sales]],Table1[Sales])</f>
        <v>70</v>
      </c>
      <c r="V213" s="21">
        <f>SUM(N$2:N214)</f>
        <v>661543.11650000059</v>
      </c>
    </row>
    <row r="214" spans="1:22" x14ac:dyDescent="0.25">
      <c r="A214" s="5" t="s">
        <v>550</v>
      </c>
      <c r="B214" s="6" t="s">
        <v>551</v>
      </c>
      <c r="C214" s="6" t="s">
        <v>552</v>
      </c>
      <c r="D214" s="7" t="s">
        <v>16</v>
      </c>
      <c r="E214" s="7" t="s">
        <v>96</v>
      </c>
      <c r="F214" s="7" t="s">
        <v>43</v>
      </c>
      <c r="G214" s="7" t="s">
        <v>44</v>
      </c>
      <c r="H214" s="7" t="s">
        <v>61</v>
      </c>
      <c r="I214" s="7" t="s">
        <v>106</v>
      </c>
      <c r="J214" s="7">
        <v>17</v>
      </c>
      <c r="K214" s="24">
        <v>69.75</v>
      </c>
      <c r="L214" s="8">
        <v>0.1</v>
      </c>
      <c r="M214" s="20">
        <v>48.49</v>
      </c>
      <c r="N214" s="21">
        <f>(Table1[[#This Row],[Quantity]]*Table1[[#This Row],[Unit Price]])*(1-Table1[[#This Row],[Discount]])</f>
        <v>1067.175</v>
      </c>
      <c r="O214" s="21">
        <f>(Table1[[#This Row],[Unit Price]]-Table1[[#This Row],[Unit Cost]])*Table1[[#This Row],[Quantity]]</f>
        <v>361.41999999999996</v>
      </c>
      <c r="P214" s="9" t="str">
        <f t="shared" si="3"/>
        <v>Bulk</v>
      </c>
      <c r="Q214" s="9" t="str">
        <f>IF(Table1[[#This Row],[Discount]]&gt;=15%,"HIGH",IF(Table1[[#This Row],[Discount]]&gt;=55,"MEDIUM","NONE"))</f>
        <v>NONE</v>
      </c>
      <c r="R214" s="9">
        <f>Table1[[#This Row],[Ship Date]]-Table1[[#This Row],[Order Date]]</f>
        <v>5</v>
      </c>
      <c r="S214" s="9">
        <f>VLOOKUP(Table1[[#This Row],[Region]],Table2[],2,FALSE)</f>
        <v>150000</v>
      </c>
      <c r="T214" s="9">
        <f>INDEX(Table2[Quarterly Target],MATCH(Table1[[#This Row],[Region]],Table2[[Region ]],0))</f>
        <v>150000</v>
      </c>
      <c r="U214" s="9">
        <f>RANK(Table1[[#This Row],[Sales]],Table1[Sales])</f>
        <v>175</v>
      </c>
      <c r="V214" s="21">
        <f>SUM(N$2:N215)</f>
        <v>661591.73650000058</v>
      </c>
    </row>
    <row r="215" spans="1:22" x14ac:dyDescent="0.25">
      <c r="A215" s="5" t="s">
        <v>553</v>
      </c>
      <c r="B215" s="6" t="s">
        <v>554</v>
      </c>
      <c r="C215" s="6" t="s">
        <v>366</v>
      </c>
      <c r="D215" s="7" t="s">
        <v>30</v>
      </c>
      <c r="E215" s="7" t="s">
        <v>71</v>
      </c>
      <c r="F215" s="7" t="s">
        <v>38</v>
      </c>
      <c r="G215" s="7" t="s">
        <v>50</v>
      </c>
      <c r="H215" s="7" t="s">
        <v>61</v>
      </c>
      <c r="I215" s="7" t="s">
        <v>62</v>
      </c>
      <c r="J215" s="7">
        <v>1</v>
      </c>
      <c r="K215" s="24">
        <v>48.62</v>
      </c>
      <c r="L215" s="8">
        <v>0</v>
      </c>
      <c r="M215" s="20">
        <v>31.8</v>
      </c>
      <c r="N215" s="21">
        <f>(Table1[[#This Row],[Quantity]]*Table1[[#This Row],[Unit Price]])*(1-Table1[[#This Row],[Discount]])</f>
        <v>48.62</v>
      </c>
      <c r="O215" s="21">
        <f>(Table1[[#This Row],[Unit Price]]-Table1[[#This Row],[Unit Cost]])*Table1[[#This Row],[Quantity]]</f>
        <v>16.819999999999997</v>
      </c>
      <c r="P215" s="9" t="str">
        <f t="shared" si="3"/>
        <v>Bulk</v>
      </c>
      <c r="Q215" s="9" t="str">
        <f>IF(Table1[[#This Row],[Discount]]&gt;=15%,"HIGH",IF(Table1[[#This Row],[Discount]]&gt;=55,"MEDIUM","NONE"))</f>
        <v>NONE</v>
      </c>
      <c r="R215" s="9">
        <f>Table1[[#This Row],[Ship Date]]-Table1[[#This Row],[Order Date]]</f>
        <v>2</v>
      </c>
      <c r="S215" s="9">
        <f>VLOOKUP(Table1[[#This Row],[Region]],Table2[],2,FALSE)</f>
        <v>120000</v>
      </c>
      <c r="T215" s="9">
        <f>INDEX(Table2[Quarterly Target],MATCH(Table1[[#This Row],[Region]],Table2[[Region ]],0))</f>
        <v>120000</v>
      </c>
      <c r="U215" s="9">
        <f>RANK(Table1[[#This Row],[Sales]],Table1[Sales])</f>
        <v>382</v>
      </c>
      <c r="V215" s="21">
        <f>SUM(N$2:N216)</f>
        <v>661835.57650000055</v>
      </c>
    </row>
    <row r="216" spans="1:22" x14ac:dyDescent="0.25">
      <c r="A216" s="5" t="s">
        <v>555</v>
      </c>
      <c r="B216" s="6" t="s">
        <v>547</v>
      </c>
      <c r="C216" s="6" t="s">
        <v>547</v>
      </c>
      <c r="D216" s="7" t="s">
        <v>24</v>
      </c>
      <c r="E216" s="7" t="s">
        <v>75</v>
      </c>
      <c r="F216" s="7" t="s">
        <v>18</v>
      </c>
      <c r="G216" s="7" t="s">
        <v>19</v>
      </c>
      <c r="H216" s="7" t="s">
        <v>33</v>
      </c>
      <c r="I216" s="7" t="s">
        <v>39</v>
      </c>
      <c r="J216" s="7">
        <v>16</v>
      </c>
      <c r="K216" s="24">
        <v>15.24</v>
      </c>
      <c r="L216" s="8">
        <v>0</v>
      </c>
      <c r="M216" s="20">
        <v>10.050000000000001</v>
      </c>
      <c r="N216" s="21">
        <f>(Table1[[#This Row],[Quantity]]*Table1[[#This Row],[Unit Price]])*(1-Table1[[#This Row],[Discount]])</f>
        <v>243.84</v>
      </c>
      <c r="O216" s="21">
        <f>(Table1[[#This Row],[Unit Price]]-Table1[[#This Row],[Unit Cost]])*Table1[[#This Row],[Quantity]]</f>
        <v>83.039999999999992</v>
      </c>
      <c r="P216" s="9" t="str">
        <f t="shared" si="3"/>
        <v>Standard</v>
      </c>
      <c r="Q216" s="9" t="str">
        <f>IF(Table1[[#This Row],[Discount]]&gt;=15%,"HIGH",IF(Table1[[#This Row],[Discount]]&gt;=55,"MEDIUM","NONE"))</f>
        <v>NONE</v>
      </c>
      <c r="R216" s="9">
        <f>Table1[[#This Row],[Ship Date]]-Table1[[#This Row],[Order Date]]</f>
        <v>0</v>
      </c>
      <c r="S216" s="9">
        <f>VLOOKUP(Table1[[#This Row],[Region]],Table2[],2,FALSE)</f>
        <v>140000</v>
      </c>
      <c r="T216" s="9">
        <f>INDEX(Table2[Quarterly Target],MATCH(Table1[[#This Row],[Region]],Table2[[Region ]],0))</f>
        <v>140000</v>
      </c>
      <c r="U216" s="9">
        <f>RANK(Table1[[#This Row],[Sales]],Table1[Sales])</f>
        <v>292</v>
      </c>
      <c r="V216" s="21">
        <f>SUM(N$2:N217)</f>
        <v>661946.49650000059</v>
      </c>
    </row>
    <row r="217" spans="1:22" x14ac:dyDescent="0.25">
      <c r="A217" s="5" t="s">
        <v>556</v>
      </c>
      <c r="B217" s="6" t="s">
        <v>557</v>
      </c>
      <c r="C217" s="6" t="s">
        <v>557</v>
      </c>
      <c r="D217" s="7" t="s">
        <v>24</v>
      </c>
      <c r="E217" s="7" t="s">
        <v>91</v>
      </c>
      <c r="F217" s="7" t="s">
        <v>43</v>
      </c>
      <c r="G217" s="7" t="s">
        <v>32</v>
      </c>
      <c r="H217" s="7" t="s">
        <v>33</v>
      </c>
      <c r="I217" s="7" t="s">
        <v>34</v>
      </c>
      <c r="J217" s="7">
        <v>4</v>
      </c>
      <c r="K217" s="24">
        <v>27.73</v>
      </c>
      <c r="L217" s="8">
        <v>0</v>
      </c>
      <c r="M217" s="20">
        <v>21.7</v>
      </c>
      <c r="N217" s="21">
        <f>(Table1[[#This Row],[Quantity]]*Table1[[#This Row],[Unit Price]])*(1-Table1[[#This Row],[Discount]])</f>
        <v>110.92</v>
      </c>
      <c r="O217" s="21">
        <f>(Table1[[#This Row],[Unit Price]]-Table1[[#This Row],[Unit Cost]])*Table1[[#This Row],[Quantity]]</f>
        <v>24.120000000000005</v>
      </c>
      <c r="P217" s="9" t="str">
        <f t="shared" si="3"/>
        <v>Bulk</v>
      </c>
      <c r="Q217" s="9" t="str">
        <f>IF(Table1[[#This Row],[Discount]]&gt;=15%,"HIGH",IF(Table1[[#This Row],[Discount]]&gt;=55,"MEDIUM","NONE"))</f>
        <v>NONE</v>
      </c>
      <c r="R217" s="9">
        <f>Table1[[#This Row],[Ship Date]]-Table1[[#This Row],[Order Date]]</f>
        <v>0</v>
      </c>
      <c r="S217" s="9">
        <f>VLOOKUP(Table1[[#This Row],[Region]],Table2[],2,FALSE)</f>
        <v>150000</v>
      </c>
      <c r="T217" s="9">
        <f>INDEX(Table2[Quarterly Target],MATCH(Table1[[#This Row],[Region]],Table2[[Region ]],0))</f>
        <v>150000</v>
      </c>
      <c r="U217" s="9">
        <f>RANK(Table1[[#This Row],[Sales]],Table1[Sales])</f>
        <v>351</v>
      </c>
      <c r="V217" s="21">
        <f>SUM(N$2:N218)</f>
        <v>668784.7565000006</v>
      </c>
    </row>
    <row r="218" spans="1:22" x14ac:dyDescent="0.25">
      <c r="A218" s="5" t="s">
        <v>558</v>
      </c>
      <c r="B218" s="6" t="s">
        <v>247</v>
      </c>
      <c r="C218" s="6" t="s">
        <v>559</v>
      </c>
      <c r="D218" s="7" t="s">
        <v>16</v>
      </c>
      <c r="E218" s="7" t="s">
        <v>31</v>
      </c>
      <c r="F218" s="7" t="s">
        <v>38</v>
      </c>
      <c r="G218" s="7" t="s">
        <v>82</v>
      </c>
      <c r="H218" s="7" t="s">
        <v>45</v>
      </c>
      <c r="I218" s="7" t="s">
        <v>148</v>
      </c>
      <c r="J218" s="7">
        <v>13</v>
      </c>
      <c r="K218" s="24">
        <v>526.02</v>
      </c>
      <c r="L218" s="8">
        <v>0</v>
      </c>
      <c r="M218" s="20">
        <v>373.54</v>
      </c>
      <c r="N218" s="21">
        <f>(Table1[[#This Row],[Quantity]]*Table1[[#This Row],[Unit Price]])*(1-Table1[[#This Row],[Discount]])</f>
        <v>6838.26</v>
      </c>
      <c r="O218" s="21">
        <f>(Table1[[#This Row],[Unit Price]]-Table1[[#This Row],[Unit Cost]])*Table1[[#This Row],[Quantity]]</f>
        <v>1982.2399999999996</v>
      </c>
      <c r="P218" s="9" t="str">
        <f t="shared" si="3"/>
        <v>Standard</v>
      </c>
      <c r="Q218" s="9" t="str">
        <f>IF(Table1[[#This Row],[Discount]]&gt;=15%,"HIGH",IF(Table1[[#This Row],[Discount]]&gt;=55,"MEDIUM","NONE"))</f>
        <v>NONE</v>
      </c>
      <c r="R218" s="9">
        <f>Table1[[#This Row],[Ship Date]]-Table1[[#This Row],[Order Date]]</f>
        <v>7</v>
      </c>
      <c r="S218" s="9">
        <f>VLOOKUP(Table1[[#This Row],[Region]],Table2[],2,FALSE)</f>
        <v>120000</v>
      </c>
      <c r="T218" s="9">
        <f>INDEX(Table2[Quarterly Target],MATCH(Table1[[#This Row],[Region]],Table2[[Region ]],0))</f>
        <v>120000</v>
      </c>
      <c r="U218" s="9">
        <f>RANK(Table1[[#This Row],[Sales]],Table1[Sales])</f>
        <v>76</v>
      </c>
      <c r="V218" s="21">
        <f>SUM(N$2:N219)</f>
        <v>673820.60650000058</v>
      </c>
    </row>
    <row r="219" spans="1:22" x14ac:dyDescent="0.25">
      <c r="A219" s="5" t="s">
        <v>560</v>
      </c>
      <c r="B219" s="6" t="s">
        <v>419</v>
      </c>
      <c r="C219" s="6" t="s">
        <v>561</v>
      </c>
      <c r="D219" s="7" t="s">
        <v>16</v>
      </c>
      <c r="E219" s="7" t="s">
        <v>31</v>
      </c>
      <c r="F219" s="7" t="s">
        <v>38</v>
      </c>
      <c r="G219" s="7" t="s">
        <v>97</v>
      </c>
      <c r="H219" s="7" t="s">
        <v>45</v>
      </c>
      <c r="I219" s="7" t="s">
        <v>143</v>
      </c>
      <c r="J219" s="7">
        <v>23</v>
      </c>
      <c r="K219" s="24">
        <v>218.95</v>
      </c>
      <c r="L219" s="8">
        <v>0</v>
      </c>
      <c r="M219" s="20">
        <v>161.6</v>
      </c>
      <c r="N219" s="21">
        <f>(Table1[[#This Row],[Quantity]]*Table1[[#This Row],[Unit Price]])*(1-Table1[[#This Row],[Discount]])</f>
        <v>5035.8499999999995</v>
      </c>
      <c r="O219" s="21">
        <f>(Table1[[#This Row],[Unit Price]]-Table1[[#This Row],[Unit Cost]])*Table1[[#This Row],[Quantity]]</f>
        <v>1319.05</v>
      </c>
      <c r="P219" s="9" t="str">
        <f t="shared" si="3"/>
        <v>Bulk</v>
      </c>
      <c r="Q219" s="9" t="str">
        <f>IF(Table1[[#This Row],[Discount]]&gt;=15%,"HIGH",IF(Table1[[#This Row],[Discount]]&gt;=55,"MEDIUM","NONE"))</f>
        <v>NONE</v>
      </c>
      <c r="R219" s="9">
        <f>Table1[[#This Row],[Ship Date]]-Table1[[#This Row],[Order Date]]</f>
        <v>4</v>
      </c>
      <c r="S219" s="9">
        <f>VLOOKUP(Table1[[#This Row],[Region]],Table2[],2,FALSE)</f>
        <v>120000</v>
      </c>
      <c r="T219" s="9">
        <f>INDEX(Table2[Quarterly Target],MATCH(Table1[[#This Row],[Region]],Table2[[Region ]],0))</f>
        <v>120000</v>
      </c>
      <c r="U219" s="9">
        <f>RANK(Table1[[#This Row],[Sales]],Table1[Sales])</f>
        <v>93</v>
      </c>
      <c r="V219" s="21">
        <f>SUM(N$2:N220)</f>
        <v>678577.14250000054</v>
      </c>
    </row>
    <row r="220" spans="1:22" x14ac:dyDescent="0.25">
      <c r="A220" s="5" t="s">
        <v>562</v>
      </c>
      <c r="B220" s="6" t="s">
        <v>563</v>
      </c>
      <c r="C220" s="6" t="s">
        <v>509</v>
      </c>
      <c r="D220" s="7" t="s">
        <v>16</v>
      </c>
      <c r="E220" s="7" t="s">
        <v>87</v>
      </c>
      <c r="F220" s="7" t="s">
        <v>18</v>
      </c>
      <c r="G220" s="7" t="s">
        <v>82</v>
      </c>
      <c r="H220" s="7" t="s">
        <v>45</v>
      </c>
      <c r="I220" s="7" t="s">
        <v>148</v>
      </c>
      <c r="J220" s="7">
        <v>9</v>
      </c>
      <c r="K220" s="24">
        <v>556.32000000000005</v>
      </c>
      <c r="L220" s="8">
        <v>0.05</v>
      </c>
      <c r="M220" s="20">
        <v>379.37</v>
      </c>
      <c r="N220" s="21">
        <f>(Table1[[#This Row],[Quantity]]*Table1[[#This Row],[Unit Price]])*(1-Table1[[#This Row],[Discount]])</f>
        <v>4756.5360000000001</v>
      </c>
      <c r="O220" s="21">
        <f>(Table1[[#This Row],[Unit Price]]-Table1[[#This Row],[Unit Cost]])*Table1[[#This Row],[Quantity]]</f>
        <v>1592.5500000000004</v>
      </c>
      <c r="P220" s="9" t="str">
        <f t="shared" si="3"/>
        <v>Bulk</v>
      </c>
      <c r="Q220" s="9" t="str">
        <f>IF(Table1[[#This Row],[Discount]]&gt;=15%,"HIGH",IF(Table1[[#This Row],[Discount]]&gt;=55,"MEDIUM","NONE"))</f>
        <v>NONE</v>
      </c>
      <c r="R220" s="9">
        <f>Table1[[#This Row],[Ship Date]]-Table1[[#This Row],[Order Date]]</f>
        <v>6</v>
      </c>
      <c r="S220" s="9">
        <f>VLOOKUP(Table1[[#This Row],[Region]],Table2[],2,FALSE)</f>
        <v>140000</v>
      </c>
      <c r="T220" s="9">
        <f>INDEX(Table2[Quarterly Target],MATCH(Table1[[#This Row],[Region]],Table2[[Region ]],0))</f>
        <v>140000</v>
      </c>
      <c r="U220" s="9">
        <f>RANK(Table1[[#This Row],[Sales]],Table1[Sales])</f>
        <v>96</v>
      </c>
      <c r="V220" s="21">
        <f>SUM(N$2:N221)</f>
        <v>678981.74250000052</v>
      </c>
    </row>
    <row r="221" spans="1:22" x14ac:dyDescent="0.25">
      <c r="A221" s="5" t="s">
        <v>564</v>
      </c>
      <c r="B221" s="6" t="s">
        <v>565</v>
      </c>
      <c r="C221" s="6" t="s">
        <v>566</v>
      </c>
      <c r="D221" s="7" t="s">
        <v>30</v>
      </c>
      <c r="E221" s="7" t="s">
        <v>206</v>
      </c>
      <c r="F221" s="7" t="s">
        <v>43</v>
      </c>
      <c r="G221" s="7" t="s">
        <v>32</v>
      </c>
      <c r="H221" s="7" t="s">
        <v>61</v>
      </c>
      <c r="I221" s="7" t="s">
        <v>72</v>
      </c>
      <c r="J221" s="7">
        <v>20</v>
      </c>
      <c r="K221" s="24">
        <v>23.8</v>
      </c>
      <c r="L221" s="8">
        <v>0.15</v>
      </c>
      <c r="M221" s="20">
        <v>17.29</v>
      </c>
      <c r="N221" s="21">
        <f>(Table1[[#This Row],[Quantity]]*Table1[[#This Row],[Unit Price]])*(1-Table1[[#This Row],[Discount]])</f>
        <v>404.59999999999997</v>
      </c>
      <c r="O221" s="21">
        <f>(Table1[[#This Row],[Unit Price]]-Table1[[#This Row],[Unit Cost]])*Table1[[#This Row],[Quantity]]</f>
        <v>130.20000000000005</v>
      </c>
      <c r="P221" s="9" t="str">
        <f t="shared" si="3"/>
        <v>Standard</v>
      </c>
      <c r="Q221" s="9" t="str">
        <f>IF(Table1[[#This Row],[Discount]]&gt;=15%,"HIGH",IF(Table1[[#This Row],[Discount]]&gt;=55,"MEDIUM","NONE"))</f>
        <v>HIGH</v>
      </c>
      <c r="R221" s="9">
        <f>Table1[[#This Row],[Ship Date]]-Table1[[#This Row],[Order Date]]</f>
        <v>2</v>
      </c>
      <c r="S221" s="9">
        <f>VLOOKUP(Table1[[#This Row],[Region]],Table2[],2,FALSE)</f>
        <v>150000</v>
      </c>
      <c r="T221" s="9">
        <f>INDEX(Table2[Quarterly Target],MATCH(Table1[[#This Row],[Region]],Table2[[Region ]],0))</f>
        <v>150000</v>
      </c>
      <c r="U221" s="9">
        <f>RANK(Table1[[#This Row],[Sales]],Table1[Sales])</f>
        <v>245</v>
      </c>
      <c r="V221" s="21">
        <f>SUM(N$2:N222)</f>
        <v>680999.24250000052</v>
      </c>
    </row>
    <row r="222" spans="1:22" x14ac:dyDescent="0.25">
      <c r="A222" s="5" t="s">
        <v>567</v>
      </c>
      <c r="B222" s="6" t="s">
        <v>293</v>
      </c>
      <c r="C222" s="6" t="s">
        <v>568</v>
      </c>
      <c r="D222" s="7" t="s">
        <v>16</v>
      </c>
      <c r="E222" s="7" t="s">
        <v>17</v>
      </c>
      <c r="F222" s="7" t="s">
        <v>43</v>
      </c>
      <c r="G222" s="7" t="s">
        <v>44</v>
      </c>
      <c r="H222" s="7" t="s">
        <v>45</v>
      </c>
      <c r="I222" s="7" t="s">
        <v>148</v>
      </c>
      <c r="J222" s="7">
        <v>6</v>
      </c>
      <c r="K222" s="24">
        <v>336.25</v>
      </c>
      <c r="L222" s="8">
        <v>0</v>
      </c>
      <c r="M222" s="20">
        <v>227.88</v>
      </c>
      <c r="N222" s="21">
        <f>(Table1[[#This Row],[Quantity]]*Table1[[#This Row],[Unit Price]])*(1-Table1[[#This Row],[Discount]])</f>
        <v>2017.5</v>
      </c>
      <c r="O222" s="21">
        <f>(Table1[[#This Row],[Unit Price]]-Table1[[#This Row],[Unit Cost]])*Table1[[#This Row],[Quantity]]</f>
        <v>650.22</v>
      </c>
      <c r="P222" s="9" t="str">
        <f t="shared" si="3"/>
        <v>Bulk</v>
      </c>
      <c r="Q222" s="9" t="str">
        <f>IF(Table1[[#This Row],[Discount]]&gt;=15%,"HIGH",IF(Table1[[#This Row],[Discount]]&gt;=55,"MEDIUM","NONE"))</f>
        <v>NONE</v>
      </c>
      <c r="R222" s="9">
        <f>Table1[[#This Row],[Ship Date]]-Table1[[#This Row],[Order Date]]</f>
        <v>7</v>
      </c>
      <c r="S222" s="9">
        <f>VLOOKUP(Table1[[#This Row],[Region]],Table2[],2,FALSE)</f>
        <v>150000</v>
      </c>
      <c r="T222" s="9">
        <f>INDEX(Table2[Quarterly Target],MATCH(Table1[[#This Row],[Region]],Table2[[Region ]],0))</f>
        <v>150000</v>
      </c>
      <c r="U222" s="9">
        <f>RANK(Table1[[#This Row],[Sales]],Table1[Sales])</f>
        <v>137</v>
      </c>
      <c r="V222" s="21">
        <f>SUM(N$2:N223)</f>
        <v>681294.26250000054</v>
      </c>
    </row>
    <row r="223" spans="1:22" x14ac:dyDescent="0.25">
      <c r="A223" s="5" t="s">
        <v>569</v>
      </c>
      <c r="B223" s="6" t="s">
        <v>570</v>
      </c>
      <c r="C223" s="6" t="s">
        <v>570</v>
      </c>
      <c r="D223" s="7" t="s">
        <v>24</v>
      </c>
      <c r="E223" s="7" t="s">
        <v>66</v>
      </c>
      <c r="F223" s="7" t="s">
        <v>25</v>
      </c>
      <c r="G223" s="7" t="s">
        <v>50</v>
      </c>
      <c r="H223" s="7" t="s">
        <v>61</v>
      </c>
      <c r="I223" s="7" t="s">
        <v>62</v>
      </c>
      <c r="J223" s="7">
        <v>6</v>
      </c>
      <c r="K223" s="24">
        <v>49.17</v>
      </c>
      <c r="L223" s="8">
        <v>0</v>
      </c>
      <c r="M223" s="20">
        <v>29.34</v>
      </c>
      <c r="N223" s="21">
        <f>(Table1[[#This Row],[Quantity]]*Table1[[#This Row],[Unit Price]])*(1-Table1[[#This Row],[Discount]])</f>
        <v>295.02</v>
      </c>
      <c r="O223" s="21">
        <f>(Table1[[#This Row],[Unit Price]]-Table1[[#This Row],[Unit Cost]])*Table1[[#This Row],[Quantity]]</f>
        <v>118.98000000000002</v>
      </c>
      <c r="P223" s="9" t="str">
        <f t="shared" si="3"/>
        <v>Standard</v>
      </c>
      <c r="Q223" s="9" t="str">
        <f>IF(Table1[[#This Row],[Discount]]&gt;=15%,"HIGH",IF(Table1[[#This Row],[Discount]]&gt;=55,"MEDIUM","NONE"))</f>
        <v>NONE</v>
      </c>
      <c r="R223" s="9">
        <f>Table1[[#This Row],[Ship Date]]-Table1[[#This Row],[Order Date]]</f>
        <v>0</v>
      </c>
      <c r="S223" s="9">
        <f>VLOOKUP(Table1[[#This Row],[Region]],Table2[],2,FALSE)</f>
        <v>130000</v>
      </c>
      <c r="T223" s="9">
        <f>INDEX(Table2[Quarterly Target],MATCH(Table1[[#This Row],[Region]],Table2[[Region ]],0))</f>
        <v>130000</v>
      </c>
      <c r="U223" s="9">
        <f>RANK(Table1[[#This Row],[Sales]],Table1[Sales])</f>
        <v>279</v>
      </c>
      <c r="V223" s="21">
        <f>SUM(N$2:N224)</f>
        <v>694230.89700000058</v>
      </c>
    </row>
    <row r="224" spans="1:22" x14ac:dyDescent="0.25">
      <c r="A224" s="5" t="s">
        <v>571</v>
      </c>
      <c r="B224" s="6" t="s">
        <v>572</v>
      </c>
      <c r="C224" s="6" t="s">
        <v>572</v>
      </c>
      <c r="D224" s="7" t="s">
        <v>24</v>
      </c>
      <c r="E224" s="7" t="s">
        <v>87</v>
      </c>
      <c r="F224" s="7" t="s">
        <v>25</v>
      </c>
      <c r="G224" s="7" t="s">
        <v>97</v>
      </c>
      <c r="H224" s="7" t="s">
        <v>20</v>
      </c>
      <c r="I224" s="7" t="s">
        <v>139</v>
      </c>
      <c r="J224" s="7">
        <v>17</v>
      </c>
      <c r="K224" s="24">
        <v>801.03</v>
      </c>
      <c r="L224" s="8">
        <v>0.05</v>
      </c>
      <c r="M224" s="20">
        <v>577.67999999999995</v>
      </c>
      <c r="N224" s="21">
        <f>(Table1[[#This Row],[Quantity]]*Table1[[#This Row],[Unit Price]])*(1-Table1[[#This Row],[Discount]])</f>
        <v>12936.6345</v>
      </c>
      <c r="O224" s="21">
        <f>(Table1[[#This Row],[Unit Price]]-Table1[[#This Row],[Unit Cost]])*Table1[[#This Row],[Quantity]]</f>
        <v>3796.9500000000003</v>
      </c>
      <c r="P224" s="9" t="str">
        <f t="shared" si="3"/>
        <v>Standard</v>
      </c>
      <c r="Q224" s="9" t="str">
        <f>IF(Table1[[#This Row],[Discount]]&gt;=15%,"HIGH",IF(Table1[[#This Row],[Discount]]&gt;=55,"MEDIUM","NONE"))</f>
        <v>NONE</v>
      </c>
      <c r="R224" s="9">
        <f>Table1[[#This Row],[Ship Date]]-Table1[[#This Row],[Order Date]]</f>
        <v>0</v>
      </c>
      <c r="S224" s="9">
        <f>VLOOKUP(Table1[[#This Row],[Region]],Table2[],2,FALSE)</f>
        <v>130000</v>
      </c>
      <c r="T224" s="9">
        <f>INDEX(Table2[Quarterly Target],MATCH(Table1[[#This Row],[Region]],Table2[[Region ]],0))</f>
        <v>130000</v>
      </c>
      <c r="U224" s="9">
        <f>RANK(Table1[[#This Row],[Sales]],Table1[Sales])</f>
        <v>28</v>
      </c>
      <c r="V224" s="21">
        <f>SUM(N$2:N225)</f>
        <v>694704.99900000053</v>
      </c>
    </row>
    <row r="225" spans="1:22" x14ac:dyDescent="0.25">
      <c r="A225" s="5" t="s">
        <v>573</v>
      </c>
      <c r="B225" s="6" t="s">
        <v>574</v>
      </c>
      <c r="C225" s="6" t="s">
        <v>575</v>
      </c>
      <c r="D225" s="7" t="s">
        <v>30</v>
      </c>
      <c r="E225" s="7" t="s">
        <v>91</v>
      </c>
      <c r="F225" s="7" t="s">
        <v>38</v>
      </c>
      <c r="G225" s="7" t="s">
        <v>19</v>
      </c>
      <c r="H225" s="7" t="s">
        <v>45</v>
      </c>
      <c r="I225" s="7" t="s">
        <v>46</v>
      </c>
      <c r="J225" s="7">
        <v>2</v>
      </c>
      <c r="K225" s="24">
        <v>263.39</v>
      </c>
      <c r="L225" s="8">
        <v>0.1</v>
      </c>
      <c r="M225" s="20">
        <v>163.87</v>
      </c>
      <c r="N225" s="21">
        <f>(Table1[[#This Row],[Quantity]]*Table1[[#This Row],[Unit Price]])*(1-Table1[[#This Row],[Discount]])</f>
        <v>474.10199999999998</v>
      </c>
      <c r="O225" s="21">
        <f>(Table1[[#This Row],[Unit Price]]-Table1[[#This Row],[Unit Cost]])*Table1[[#This Row],[Quantity]]</f>
        <v>199.03999999999996</v>
      </c>
      <c r="P225" s="9" t="str">
        <f t="shared" si="3"/>
        <v>Bulk</v>
      </c>
      <c r="Q225" s="9" t="str">
        <f>IF(Table1[[#This Row],[Discount]]&gt;=15%,"HIGH",IF(Table1[[#This Row],[Discount]]&gt;=55,"MEDIUM","NONE"))</f>
        <v>NONE</v>
      </c>
      <c r="R225" s="9">
        <f>Table1[[#This Row],[Ship Date]]-Table1[[#This Row],[Order Date]]</f>
        <v>3</v>
      </c>
      <c r="S225" s="9">
        <f>VLOOKUP(Table1[[#This Row],[Region]],Table2[],2,FALSE)</f>
        <v>120000</v>
      </c>
      <c r="T225" s="9">
        <f>INDEX(Table2[Quarterly Target],MATCH(Table1[[#This Row],[Region]],Table2[[Region ]],0))</f>
        <v>120000</v>
      </c>
      <c r="U225" s="9">
        <f>RANK(Table1[[#This Row],[Sales]],Table1[Sales])</f>
        <v>230</v>
      </c>
      <c r="V225" s="21">
        <f>SUM(N$2:N226)</f>
        <v>696784.31150000053</v>
      </c>
    </row>
    <row r="226" spans="1:22" x14ac:dyDescent="0.25">
      <c r="A226" s="5" t="s">
        <v>576</v>
      </c>
      <c r="B226" s="6" t="s">
        <v>244</v>
      </c>
      <c r="C226" s="6" t="s">
        <v>244</v>
      </c>
      <c r="D226" s="7" t="s">
        <v>24</v>
      </c>
      <c r="E226" s="7" t="s">
        <v>37</v>
      </c>
      <c r="F226" s="7" t="s">
        <v>43</v>
      </c>
      <c r="G226" s="7" t="s">
        <v>32</v>
      </c>
      <c r="H226" s="7" t="s">
        <v>20</v>
      </c>
      <c r="I226" s="7" t="s">
        <v>192</v>
      </c>
      <c r="J226" s="7">
        <v>25</v>
      </c>
      <c r="K226" s="24">
        <v>97.85</v>
      </c>
      <c r="L226" s="8">
        <v>0.15</v>
      </c>
      <c r="M226" s="20">
        <v>64.61</v>
      </c>
      <c r="N226" s="21">
        <f>(Table1[[#This Row],[Quantity]]*Table1[[#This Row],[Unit Price]])*(1-Table1[[#This Row],[Discount]])</f>
        <v>2079.3125</v>
      </c>
      <c r="O226" s="21">
        <f>(Table1[[#This Row],[Unit Price]]-Table1[[#This Row],[Unit Cost]])*Table1[[#This Row],[Quantity]]</f>
        <v>830.99999999999989</v>
      </c>
      <c r="P226" s="9" t="str">
        <f t="shared" si="3"/>
        <v>Standard</v>
      </c>
      <c r="Q226" s="9" t="str">
        <f>IF(Table1[[#This Row],[Discount]]&gt;=15%,"HIGH",IF(Table1[[#This Row],[Discount]]&gt;=55,"MEDIUM","NONE"))</f>
        <v>HIGH</v>
      </c>
      <c r="R226" s="9">
        <f>Table1[[#This Row],[Ship Date]]-Table1[[#This Row],[Order Date]]</f>
        <v>0</v>
      </c>
      <c r="S226" s="9">
        <f>VLOOKUP(Table1[[#This Row],[Region]],Table2[],2,FALSE)</f>
        <v>150000</v>
      </c>
      <c r="T226" s="9">
        <f>INDEX(Table2[Quarterly Target],MATCH(Table1[[#This Row],[Region]],Table2[[Region ]],0))</f>
        <v>150000</v>
      </c>
      <c r="U226" s="9">
        <f>RANK(Table1[[#This Row],[Sales]],Table1[Sales])</f>
        <v>136</v>
      </c>
      <c r="V226" s="21">
        <f>SUM(N$2:N227)</f>
        <v>697939.04150000052</v>
      </c>
    </row>
    <row r="227" spans="1:22" x14ac:dyDescent="0.25">
      <c r="A227" s="5" t="s">
        <v>577</v>
      </c>
      <c r="B227" s="6" t="s">
        <v>578</v>
      </c>
      <c r="C227" s="6" t="s">
        <v>579</v>
      </c>
      <c r="D227" s="7" t="s">
        <v>30</v>
      </c>
      <c r="E227" s="7" t="s">
        <v>75</v>
      </c>
      <c r="F227" s="7" t="s">
        <v>43</v>
      </c>
      <c r="G227" s="7" t="s">
        <v>44</v>
      </c>
      <c r="H227" s="7" t="s">
        <v>45</v>
      </c>
      <c r="I227" s="7" t="s">
        <v>148</v>
      </c>
      <c r="J227" s="7">
        <v>3</v>
      </c>
      <c r="K227" s="24">
        <v>384.91</v>
      </c>
      <c r="L227" s="8">
        <v>0</v>
      </c>
      <c r="M227" s="20">
        <v>286.33999999999997</v>
      </c>
      <c r="N227" s="21">
        <f>(Table1[[#This Row],[Quantity]]*Table1[[#This Row],[Unit Price]])*(1-Table1[[#This Row],[Discount]])</f>
        <v>1154.73</v>
      </c>
      <c r="O227" s="21">
        <f>(Table1[[#This Row],[Unit Price]]-Table1[[#This Row],[Unit Cost]])*Table1[[#This Row],[Quantity]]</f>
        <v>295.71000000000015</v>
      </c>
      <c r="P227" s="9" t="str">
        <f t="shared" si="3"/>
        <v>Bulk</v>
      </c>
      <c r="Q227" s="9" t="str">
        <f>IF(Table1[[#This Row],[Discount]]&gt;=15%,"HIGH",IF(Table1[[#This Row],[Discount]]&gt;=55,"MEDIUM","NONE"))</f>
        <v>NONE</v>
      </c>
      <c r="R227" s="9">
        <f>Table1[[#This Row],[Ship Date]]-Table1[[#This Row],[Order Date]]</f>
        <v>2</v>
      </c>
      <c r="S227" s="9">
        <f>VLOOKUP(Table1[[#This Row],[Region]],Table2[],2,FALSE)</f>
        <v>150000</v>
      </c>
      <c r="T227" s="9">
        <f>INDEX(Table2[Quarterly Target],MATCH(Table1[[#This Row],[Region]],Table2[[Region ]],0))</f>
        <v>150000</v>
      </c>
      <c r="U227" s="9">
        <f>RANK(Table1[[#This Row],[Sales]],Table1[Sales])</f>
        <v>170</v>
      </c>
      <c r="V227" s="21">
        <f>SUM(N$2:N228)</f>
        <v>698144.48450000049</v>
      </c>
    </row>
    <row r="228" spans="1:22" x14ac:dyDescent="0.25">
      <c r="A228" s="5" t="s">
        <v>580</v>
      </c>
      <c r="B228" s="6" t="s">
        <v>581</v>
      </c>
      <c r="C228" s="6" t="s">
        <v>498</v>
      </c>
      <c r="D228" s="7" t="s">
        <v>16</v>
      </c>
      <c r="E228" s="7" t="s">
        <v>78</v>
      </c>
      <c r="F228" s="7" t="s">
        <v>60</v>
      </c>
      <c r="G228" s="7" t="s">
        <v>50</v>
      </c>
      <c r="H228" s="7" t="s">
        <v>33</v>
      </c>
      <c r="I228" s="7" t="s">
        <v>153</v>
      </c>
      <c r="J228" s="7">
        <v>7</v>
      </c>
      <c r="K228" s="24">
        <v>32.61</v>
      </c>
      <c r="L228" s="8">
        <v>0.1</v>
      </c>
      <c r="M228" s="20">
        <v>20.8</v>
      </c>
      <c r="N228" s="21">
        <f>(Table1[[#This Row],[Quantity]]*Table1[[#This Row],[Unit Price]])*(1-Table1[[#This Row],[Discount]])</f>
        <v>205.44299999999998</v>
      </c>
      <c r="O228" s="21">
        <f>(Table1[[#This Row],[Unit Price]]-Table1[[#This Row],[Unit Cost]])*Table1[[#This Row],[Quantity]]</f>
        <v>82.669999999999987</v>
      </c>
      <c r="P228" s="9" t="str">
        <f t="shared" si="3"/>
        <v>Standard</v>
      </c>
      <c r="Q228" s="9" t="str">
        <f>IF(Table1[[#This Row],[Discount]]&gt;=15%,"HIGH",IF(Table1[[#This Row],[Discount]]&gt;=55,"MEDIUM","NONE"))</f>
        <v>NONE</v>
      </c>
      <c r="R228" s="9">
        <f>Table1[[#This Row],[Ship Date]]-Table1[[#This Row],[Order Date]]</f>
        <v>6</v>
      </c>
      <c r="S228" s="9">
        <f>VLOOKUP(Table1[[#This Row],[Region]],Table2[],2,FALSE)</f>
        <v>160000</v>
      </c>
      <c r="T228" s="9">
        <f>INDEX(Table2[Quarterly Target],MATCH(Table1[[#This Row],[Region]],Table2[[Region ]],0))</f>
        <v>160000</v>
      </c>
      <c r="U228" s="9">
        <f>RANK(Table1[[#This Row],[Sales]],Table1[Sales])</f>
        <v>310</v>
      </c>
      <c r="V228" s="21">
        <f>SUM(N$2:N229)</f>
        <v>698940.98450000049</v>
      </c>
    </row>
    <row r="229" spans="1:22" x14ac:dyDescent="0.25">
      <c r="A229" s="5" t="s">
        <v>582</v>
      </c>
      <c r="B229" s="6" t="s">
        <v>583</v>
      </c>
      <c r="C229" s="6" t="s">
        <v>584</v>
      </c>
      <c r="D229" s="7" t="s">
        <v>16</v>
      </c>
      <c r="E229" s="7" t="s">
        <v>37</v>
      </c>
      <c r="F229" s="7" t="s">
        <v>38</v>
      </c>
      <c r="G229" s="7" t="s">
        <v>67</v>
      </c>
      <c r="H229" s="7" t="s">
        <v>33</v>
      </c>
      <c r="I229" s="7" t="s">
        <v>39</v>
      </c>
      <c r="J229" s="7">
        <v>25</v>
      </c>
      <c r="K229" s="24">
        <v>31.86</v>
      </c>
      <c r="L229" s="8">
        <v>0</v>
      </c>
      <c r="M229" s="20">
        <v>25.43</v>
      </c>
      <c r="N229" s="21">
        <f>(Table1[[#This Row],[Quantity]]*Table1[[#This Row],[Unit Price]])*(1-Table1[[#This Row],[Discount]])</f>
        <v>796.5</v>
      </c>
      <c r="O229" s="21">
        <f>(Table1[[#This Row],[Unit Price]]-Table1[[#This Row],[Unit Cost]])*Table1[[#This Row],[Quantity]]</f>
        <v>160.75</v>
      </c>
      <c r="P229" s="9" t="str">
        <f t="shared" si="3"/>
        <v>Standard</v>
      </c>
      <c r="Q229" s="9" t="str">
        <f>IF(Table1[[#This Row],[Discount]]&gt;=15%,"HIGH",IF(Table1[[#This Row],[Discount]]&gt;=55,"MEDIUM","NONE"))</f>
        <v>NONE</v>
      </c>
      <c r="R229" s="9">
        <f>Table1[[#This Row],[Ship Date]]-Table1[[#This Row],[Order Date]]</f>
        <v>5</v>
      </c>
      <c r="S229" s="9">
        <f>VLOOKUP(Table1[[#This Row],[Region]],Table2[],2,FALSE)</f>
        <v>120000</v>
      </c>
      <c r="T229" s="9">
        <f>INDEX(Table2[Quarterly Target],MATCH(Table1[[#This Row],[Region]],Table2[[Region ]],0))</f>
        <v>120000</v>
      </c>
      <c r="U229" s="9">
        <f>RANK(Table1[[#This Row],[Sales]],Table1[Sales])</f>
        <v>189</v>
      </c>
      <c r="V229" s="21">
        <f>SUM(N$2:N230)</f>
        <v>707467.86150000046</v>
      </c>
    </row>
    <row r="230" spans="1:22" x14ac:dyDescent="0.25">
      <c r="A230" s="5" t="s">
        <v>585</v>
      </c>
      <c r="B230" s="6" t="s">
        <v>586</v>
      </c>
      <c r="C230" s="6" t="s">
        <v>128</v>
      </c>
      <c r="D230" s="7" t="s">
        <v>16</v>
      </c>
      <c r="E230" s="7" t="s">
        <v>55</v>
      </c>
      <c r="F230" s="7" t="s">
        <v>25</v>
      </c>
      <c r="G230" s="7" t="s">
        <v>82</v>
      </c>
      <c r="H230" s="7" t="s">
        <v>45</v>
      </c>
      <c r="I230" s="7" t="s">
        <v>148</v>
      </c>
      <c r="J230" s="7">
        <v>19</v>
      </c>
      <c r="K230" s="24">
        <v>527.98</v>
      </c>
      <c r="L230" s="8">
        <v>0.15</v>
      </c>
      <c r="M230" s="20">
        <v>345.06</v>
      </c>
      <c r="N230" s="21">
        <f>(Table1[[#This Row],[Quantity]]*Table1[[#This Row],[Unit Price]])*(1-Table1[[#This Row],[Discount]])</f>
        <v>8526.8770000000004</v>
      </c>
      <c r="O230" s="21">
        <f>(Table1[[#This Row],[Unit Price]]-Table1[[#This Row],[Unit Cost]])*Table1[[#This Row],[Quantity]]</f>
        <v>3475.4800000000005</v>
      </c>
      <c r="P230" s="9" t="str">
        <f t="shared" si="3"/>
        <v>Bulk</v>
      </c>
      <c r="Q230" s="9" t="str">
        <f>IF(Table1[[#This Row],[Discount]]&gt;=15%,"HIGH",IF(Table1[[#This Row],[Discount]]&gt;=55,"MEDIUM","NONE"))</f>
        <v>HIGH</v>
      </c>
      <c r="R230" s="9">
        <f>Table1[[#This Row],[Ship Date]]-Table1[[#This Row],[Order Date]]</f>
        <v>7</v>
      </c>
      <c r="S230" s="9">
        <f>VLOOKUP(Table1[[#This Row],[Region]],Table2[],2,FALSE)</f>
        <v>130000</v>
      </c>
      <c r="T230" s="9">
        <f>INDEX(Table2[Quarterly Target],MATCH(Table1[[#This Row],[Region]],Table2[[Region ]],0))</f>
        <v>130000</v>
      </c>
      <c r="U230" s="9">
        <f>RANK(Table1[[#This Row],[Sales]],Table1[Sales])</f>
        <v>55</v>
      </c>
      <c r="V230" s="21">
        <f>SUM(N$2:N231)</f>
        <v>714289.94150000042</v>
      </c>
    </row>
    <row r="231" spans="1:22" x14ac:dyDescent="0.25">
      <c r="A231" s="5" t="s">
        <v>587</v>
      </c>
      <c r="B231" s="6" t="s">
        <v>588</v>
      </c>
      <c r="C231" s="6" t="s">
        <v>589</v>
      </c>
      <c r="D231" s="7" t="s">
        <v>30</v>
      </c>
      <c r="E231" s="7" t="s">
        <v>37</v>
      </c>
      <c r="F231" s="7" t="s">
        <v>38</v>
      </c>
      <c r="G231" s="7" t="s">
        <v>32</v>
      </c>
      <c r="H231" s="7" t="s">
        <v>20</v>
      </c>
      <c r="I231" s="7" t="s">
        <v>139</v>
      </c>
      <c r="J231" s="7">
        <v>16</v>
      </c>
      <c r="K231" s="24">
        <v>426.38</v>
      </c>
      <c r="L231" s="8">
        <v>0</v>
      </c>
      <c r="M231" s="20">
        <v>327.13</v>
      </c>
      <c r="N231" s="21">
        <f>(Table1[[#This Row],[Quantity]]*Table1[[#This Row],[Unit Price]])*(1-Table1[[#This Row],[Discount]])</f>
        <v>6822.08</v>
      </c>
      <c r="O231" s="21">
        <f>(Table1[[#This Row],[Unit Price]]-Table1[[#This Row],[Unit Cost]])*Table1[[#This Row],[Quantity]]</f>
        <v>1588</v>
      </c>
      <c r="P231" s="9" t="str">
        <f t="shared" si="3"/>
        <v>Bulk</v>
      </c>
      <c r="Q231" s="9" t="str">
        <f>IF(Table1[[#This Row],[Discount]]&gt;=15%,"HIGH",IF(Table1[[#This Row],[Discount]]&gt;=55,"MEDIUM","NONE"))</f>
        <v>NONE</v>
      </c>
      <c r="R231" s="9">
        <f>Table1[[#This Row],[Ship Date]]-Table1[[#This Row],[Order Date]]</f>
        <v>3</v>
      </c>
      <c r="S231" s="9">
        <f>VLOOKUP(Table1[[#This Row],[Region]],Table2[],2,FALSE)</f>
        <v>120000</v>
      </c>
      <c r="T231" s="9">
        <f>INDEX(Table2[Quarterly Target],MATCH(Table1[[#This Row],[Region]],Table2[[Region ]],0))</f>
        <v>120000</v>
      </c>
      <c r="U231" s="9">
        <f>RANK(Table1[[#This Row],[Sales]],Table1[Sales])</f>
        <v>77</v>
      </c>
      <c r="V231" s="21">
        <f>SUM(N$2:N232)</f>
        <v>714435.5415000004</v>
      </c>
    </row>
    <row r="232" spans="1:22" x14ac:dyDescent="0.25">
      <c r="A232" s="5" t="s">
        <v>590</v>
      </c>
      <c r="B232" s="6" t="s">
        <v>591</v>
      </c>
      <c r="C232" s="6" t="s">
        <v>592</v>
      </c>
      <c r="D232" s="7" t="s">
        <v>30</v>
      </c>
      <c r="E232" s="7" t="s">
        <v>55</v>
      </c>
      <c r="F232" s="7" t="s">
        <v>38</v>
      </c>
      <c r="G232" s="7" t="s">
        <v>19</v>
      </c>
      <c r="H232" s="7" t="s">
        <v>33</v>
      </c>
      <c r="I232" s="7" t="s">
        <v>34</v>
      </c>
      <c r="J232" s="7">
        <v>7</v>
      </c>
      <c r="K232" s="24">
        <v>20.8</v>
      </c>
      <c r="L232" s="8">
        <v>0</v>
      </c>
      <c r="M232" s="20">
        <v>15.75</v>
      </c>
      <c r="N232" s="21">
        <f>(Table1[[#This Row],[Quantity]]*Table1[[#This Row],[Unit Price]])*(1-Table1[[#This Row],[Discount]])</f>
        <v>145.6</v>
      </c>
      <c r="O232" s="21">
        <f>(Table1[[#This Row],[Unit Price]]-Table1[[#This Row],[Unit Cost]])*Table1[[#This Row],[Quantity]]</f>
        <v>35.350000000000009</v>
      </c>
      <c r="P232" s="9" t="str">
        <f t="shared" si="3"/>
        <v>Bulk</v>
      </c>
      <c r="Q232" s="9" t="str">
        <f>IF(Table1[[#This Row],[Discount]]&gt;=15%,"HIGH",IF(Table1[[#This Row],[Discount]]&gt;=55,"MEDIUM","NONE"))</f>
        <v>NONE</v>
      </c>
      <c r="R232" s="9">
        <f>Table1[[#This Row],[Ship Date]]-Table1[[#This Row],[Order Date]]</f>
        <v>2</v>
      </c>
      <c r="S232" s="9">
        <f>VLOOKUP(Table1[[#This Row],[Region]],Table2[],2,FALSE)</f>
        <v>120000</v>
      </c>
      <c r="T232" s="9">
        <f>INDEX(Table2[Quarterly Target],MATCH(Table1[[#This Row],[Region]],Table2[[Region ]],0))</f>
        <v>120000</v>
      </c>
      <c r="U232" s="9">
        <f>RANK(Table1[[#This Row],[Sales]],Table1[Sales])</f>
        <v>337</v>
      </c>
      <c r="V232" s="21">
        <f>SUM(N$2:N233)</f>
        <v>714571.14150000038</v>
      </c>
    </row>
    <row r="233" spans="1:22" x14ac:dyDescent="0.25">
      <c r="A233" s="5" t="s">
        <v>593</v>
      </c>
      <c r="B233" s="6" t="s">
        <v>520</v>
      </c>
      <c r="C233" s="6" t="s">
        <v>520</v>
      </c>
      <c r="D233" s="7" t="s">
        <v>24</v>
      </c>
      <c r="E233" s="7" t="s">
        <v>133</v>
      </c>
      <c r="F233" s="7" t="s">
        <v>43</v>
      </c>
      <c r="G233" s="7" t="s">
        <v>67</v>
      </c>
      <c r="H233" s="7" t="s">
        <v>61</v>
      </c>
      <c r="I233" s="7" t="s">
        <v>169</v>
      </c>
      <c r="J233" s="7">
        <v>15</v>
      </c>
      <c r="K233" s="24">
        <v>11.3</v>
      </c>
      <c r="L233" s="8">
        <v>0.2</v>
      </c>
      <c r="M233" s="20">
        <v>6.66</v>
      </c>
      <c r="N233" s="21">
        <f>(Table1[[#This Row],[Quantity]]*Table1[[#This Row],[Unit Price]])*(1-Table1[[#This Row],[Discount]])</f>
        <v>135.6</v>
      </c>
      <c r="O233" s="21">
        <f>(Table1[[#This Row],[Unit Price]]-Table1[[#This Row],[Unit Cost]])*Table1[[#This Row],[Quantity]]</f>
        <v>69.600000000000009</v>
      </c>
      <c r="P233" s="9" t="str">
        <f t="shared" si="3"/>
        <v>Standard</v>
      </c>
      <c r="Q233" s="9" t="str">
        <f>IF(Table1[[#This Row],[Discount]]&gt;=15%,"HIGH",IF(Table1[[#This Row],[Discount]]&gt;=55,"MEDIUM","NONE"))</f>
        <v>HIGH</v>
      </c>
      <c r="R233" s="9">
        <f>Table1[[#This Row],[Ship Date]]-Table1[[#This Row],[Order Date]]</f>
        <v>0</v>
      </c>
      <c r="S233" s="9">
        <f>VLOOKUP(Table1[[#This Row],[Region]],Table2[],2,FALSE)</f>
        <v>150000</v>
      </c>
      <c r="T233" s="9">
        <f>INDEX(Table2[Quarterly Target],MATCH(Table1[[#This Row],[Region]],Table2[[Region ]],0))</f>
        <v>150000</v>
      </c>
      <c r="U233" s="9">
        <f>RANK(Table1[[#This Row],[Sales]],Table1[Sales])</f>
        <v>340</v>
      </c>
      <c r="V233" s="21">
        <f>SUM(N$2:N234)</f>
        <v>721432.26150000037</v>
      </c>
    </row>
    <row r="234" spans="1:22" x14ac:dyDescent="0.25">
      <c r="A234" s="5" t="s">
        <v>594</v>
      </c>
      <c r="B234" s="6" t="s">
        <v>595</v>
      </c>
      <c r="C234" s="6" t="s">
        <v>596</v>
      </c>
      <c r="D234" s="7" t="s">
        <v>16</v>
      </c>
      <c r="E234" s="7" t="s">
        <v>78</v>
      </c>
      <c r="F234" s="7" t="s">
        <v>18</v>
      </c>
      <c r="G234" s="7" t="s">
        <v>44</v>
      </c>
      <c r="H234" s="7" t="s">
        <v>45</v>
      </c>
      <c r="I234" s="7" t="s">
        <v>68</v>
      </c>
      <c r="J234" s="7">
        <v>21</v>
      </c>
      <c r="K234" s="24">
        <v>326.72000000000003</v>
      </c>
      <c r="L234" s="8">
        <v>0</v>
      </c>
      <c r="M234" s="20">
        <v>210.07</v>
      </c>
      <c r="N234" s="21">
        <f>(Table1[[#This Row],[Quantity]]*Table1[[#This Row],[Unit Price]])*(1-Table1[[#This Row],[Discount]])</f>
        <v>6861.1200000000008</v>
      </c>
      <c r="O234" s="21">
        <f>(Table1[[#This Row],[Unit Price]]-Table1[[#This Row],[Unit Cost]])*Table1[[#This Row],[Quantity]]</f>
        <v>2449.6500000000005</v>
      </c>
      <c r="P234" s="9" t="str">
        <f t="shared" si="3"/>
        <v>Bulk</v>
      </c>
      <c r="Q234" s="9" t="str">
        <f>IF(Table1[[#This Row],[Discount]]&gt;=15%,"HIGH",IF(Table1[[#This Row],[Discount]]&gt;=55,"MEDIUM","NONE"))</f>
        <v>NONE</v>
      </c>
      <c r="R234" s="9">
        <f>Table1[[#This Row],[Ship Date]]-Table1[[#This Row],[Order Date]]</f>
        <v>5</v>
      </c>
      <c r="S234" s="9">
        <f>VLOOKUP(Table1[[#This Row],[Region]],Table2[],2,FALSE)</f>
        <v>140000</v>
      </c>
      <c r="T234" s="9">
        <f>INDEX(Table2[Quarterly Target],MATCH(Table1[[#This Row],[Region]],Table2[[Region ]],0))</f>
        <v>140000</v>
      </c>
      <c r="U234" s="9">
        <f>RANK(Table1[[#This Row],[Sales]],Table1[Sales])</f>
        <v>74</v>
      </c>
      <c r="V234" s="21">
        <f>SUM(N$2:N235)</f>
        <v>721573.10150000034</v>
      </c>
    </row>
    <row r="235" spans="1:22" x14ac:dyDescent="0.25">
      <c r="A235" s="5" t="s">
        <v>597</v>
      </c>
      <c r="B235" s="6" t="s">
        <v>598</v>
      </c>
      <c r="C235" s="6" t="s">
        <v>99</v>
      </c>
      <c r="D235" s="7" t="s">
        <v>16</v>
      </c>
      <c r="E235" s="7" t="s">
        <v>49</v>
      </c>
      <c r="F235" s="7" t="s">
        <v>60</v>
      </c>
      <c r="G235" s="7" t="s">
        <v>67</v>
      </c>
      <c r="H235" s="7" t="s">
        <v>33</v>
      </c>
      <c r="I235" s="7" t="s">
        <v>51</v>
      </c>
      <c r="J235" s="7">
        <v>7</v>
      </c>
      <c r="K235" s="24">
        <v>20.12</v>
      </c>
      <c r="L235" s="8">
        <v>0</v>
      </c>
      <c r="M235" s="20">
        <v>14.05</v>
      </c>
      <c r="N235" s="21">
        <f>(Table1[[#This Row],[Quantity]]*Table1[[#This Row],[Unit Price]])*(1-Table1[[#This Row],[Discount]])</f>
        <v>140.84</v>
      </c>
      <c r="O235" s="21">
        <f>(Table1[[#This Row],[Unit Price]]-Table1[[#This Row],[Unit Cost]])*Table1[[#This Row],[Quantity]]</f>
        <v>42.49</v>
      </c>
      <c r="P235" s="9" t="str">
        <f t="shared" si="3"/>
        <v>Bulk</v>
      </c>
      <c r="Q235" s="9" t="str">
        <f>IF(Table1[[#This Row],[Discount]]&gt;=15%,"HIGH",IF(Table1[[#This Row],[Discount]]&gt;=55,"MEDIUM","NONE"))</f>
        <v>NONE</v>
      </c>
      <c r="R235" s="9">
        <f>Table1[[#This Row],[Ship Date]]-Table1[[#This Row],[Order Date]]</f>
        <v>7</v>
      </c>
      <c r="S235" s="9">
        <f>VLOOKUP(Table1[[#This Row],[Region]],Table2[],2,FALSE)</f>
        <v>160000</v>
      </c>
      <c r="T235" s="9">
        <f>INDEX(Table2[Quarterly Target],MATCH(Table1[[#This Row],[Region]],Table2[[Region ]],0))</f>
        <v>160000</v>
      </c>
      <c r="U235" s="9">
        <f>RANK(Table1[[#This Row],[Sales]],Table1[Sales])</f>
        <v>338</v>
      </c>
      <c r="V235" s="21">
        <f>SUM(N$2:N236)</f>
        <v>721685.70950000035</v>
      </c>
    </row>
    <row r="236" spans="1:22" x14ac:dyDescent="0.25">
      <c r="A236" s="5" t="s">
        <v>599</v>
      </c>
      <c r="B236" s="6" t="s">
        <v>600</v>
      </c>
      <c r="C236" s="6" t="s">
        <v>601</v>
      </c>
      <c r="D236" s="7" t="s">
        <v>16</v>
      </c>
      <c r="E236" s="7" t="s">
        <v>59</v>
      </c>
      <c r="F236" s="7" t="s">
        <v>60</v>
      </c>
      <c r="G236" s="7" t="s">
        <v>82</v>
      </c>
      <c r="H236" s="7" t="s">
        <v>33</v>
      </c>
      <c r="I236" s="7" t="s">
        <v>34</v>
      </c>
      <c r="J236" s="7">
        <v>8</v>
      </c>
      <c r="K236" s="24">
        <v>16.559999999999999</v>
      </c>
      <c r="L236" s="8">
        <v>0.15</v>
      </c>
      <c r="M236" s="20">
        <v>12.44</v>
      </c>
      <c r="N236" s="21">
        <f>(Table1[[#This Row],[Quantity]]*Table1[[#This Row],[Unit Price]])*(1-Table1[[#This Row],[Discount]])</f>
        <v>112.60799999999999</v>
      </c>
      <c r="O236" s="21">
        <f>(Table1[[#This Row],[Unit Price]]-Table1[[#This Row],[Unit Cost]])*Table1[[#This Row],[Quantity]]</f>
        <v>32.959999999999994</v>
      </c>
      <c r="P236" s="9" t="str">
        <f t="shared" si="3"/>
        <v>Standard</v>
      </c>
      <c r="Q236" s="9" t="str">
        <f>IF(Table1[[#This Row],[Discount]]&gt;=15%,"HIGH",IF(Table1[[#This Row],[Discount]]&gt;=55,"MEDIUM","NONE"))</f>
        <v>HIGH</v>
      </c>
      <c r="R236" s="9">
        <f>Table1[[#This Row],[Ship Date]]-Table1[[#This Row],[Order Date]]</f>
        <v>4</v>
      </c>
      <c r="S236" s="9">
        <f>VLOOKUP(Table1[[#This Row],[Region]],Table2[],2,FALSE)</f>
        <v>160000</v>
      </c>
      <c r="T236" s="9">
        <f>INDEX(Table2[Quarterly Target],MATCH(Table1[[#This Row],[Region]],Table2[[Region ]],0))</f>
        <v>160000</v>
      </c>
      <c r="U236" s="9">
        <f>RANK(Table1[[#This Row],[Sales]],Table1[Sales])</f>
        <v>350</v>
      </c>
      <c r="V236" s="21">
        <f>SUM(N$2:N237)</f>
        <v>722043.8825000003</v>
      </c>
    </row>
    <row r="237" spans="1:22" x14ac:dyDescent="0.25">
      <c r="A237" s="5" t="s">
        <v>602</v>
      </c>
      <c r="B237" s="6" t="s">
        <v>364</v>
      </c>
      <c r="C237" s="6" t="s">
        <v>554</v>
      </c>
      <c r="D237" s="7" t="s">
        <v>16</v>
      </c>
      <c r="E237" s="7" t="s">
        <v>59</v>
      </c>
      <c r="F237" s="7" t="s">
        <v>60</v>
      </c>
      <c r="G237" s="7" t="s">
        <v>50</v>
      </c>
      <c r="H237" s="7" t="s">
        <v>33</v>
      </c>
      <c r="I237" s="7" t="s">
        <v>51</v>
      </c>
      <c r="J237" s="7">
        <v>17</v>
      </c>
      <c r="K237" s="24">
        <v>23.41</v>
      </c>
      <c r="L237" s="8">
        <v>0.1</v>
      </c>
      <c r="M237" s="20">
        <v>16.68</v>
      </c>
      <c r="N237" s="21">
        <f>(Table1[[#This Row],[Quantity]]*Table1[[#This Row],[Unit Price]])*(1-Table1[[#This Row],[Discount]])</f>
        <v>358.17300000000006</v>
      </c>
      <c r="O237" s="21">
        <f>(Table1[[#This Row],[Unit Price]]-Table1[[#This Row],[Unit Cost]])*Table1[[#This Row],[Quantity]]</f>
        <v>114.41000000000001</v>
      </c>
      <c r="P237" s="9" t="str">
        <f t="shared" si="3"/>
        <v>Standard</v>
      </c>
      <c r="Q237" s="9" t="str">
        <f>IF(Table1[[#This Row],[Discount]]&gt;=15%,"HIGH",IF(Table1[[#This Row],[Discount]]&gt;=55,"MEDIUM","NONE"))</f>
        <v>NONE</v>
      </c>
      <c r="R237" s="9">
        <f>Table1[[#This Row],[Ship Date]]-Table1[[#This Row],[Order Date]]</f>
        <v>7</v>
      </c>
      <c r="S237" s="9">
        <f>VLOOKUP(Table1[[#This Row],[Region]],Table2[],2,FALSE)</f>
        <v>160000</v>
      </c>
      <c r="T237" s="9">
        <f>INDEX(Table2[Quarterly Target],MATCH(Table1[[#This Row],[Region]],Table2[[Region ]],0))</f>
        <v>160000</v>
      </c>
      <c r="U237" s="9">
        <f>RANK(Table1[[#This Row],[Sales]],Table1[Sales])</f>
        <v>256</v>
      </c>
      <c r="V237" s="21">
        <f>SUM(N$2:N238)</f>
        <v>722698.32250000024</v>
      </c>
    </row>
    <row r="238" spans="1:22" x14ac:dyDescent="0.25">
      <c r="A238" s="5" t="s">
        <v>603</v>
      </c>
      <c r="B238" s="6" t="s">
        <v>604</v>
      </c>
      <c r="C238" s="6" t="s">
        <v>605</v>
      </c>
      <c r="D238" s="7" t="s">
        <v>16</v>
      </c>
      <c r="E238" s="7" t="s">
        <v>75</v>
      </c>
      <c r="F238" s="7" t="s">
        <v>38</v>
      </c>
      <c r="G238" s="7" t="s">
        <v>19</v>
      </c>
      <c r="H238" s="7" t="s">
        <v>45</v>
      </c>
      <c r="I238" s="7" t="s">
        <v>143</v>
      </c>
      <c r="J238" s="7">
        <v>4</v>
      </c>
      <c r="K238" s="24">
        <v>163.61000000000001</v>
      </c>
      <c r="L238" s="8">
        <v>0</v>
      </c>
      <c r="M238" s="20">
        <v>114.1</v>
      </c>
      <c r="N238" s="21">
        <f>(Table1[[#This Row],[Quantity]]*Table1[[#This Row],[Unit Price]])*(1-Table1[[#This Row],[Discount]])</f>
        <v>654.44000000000005</v>
      </c>
      <c r="O238" s="21">
        <f>(Table1[[#This Row],[Unit Price]]-Table1[[#This Row],[Unit Cost]])*Table1[[#This Row],[Quantity]]</f>
        <v>198.04000000000008</v>
      </c>
      <c r="P238" s="9" t="str">
        <f t="shared" si="3"/>
        <v>Bulk</v>
      </c>
      <c r="Q238" s="9" t="str">
        <f>IF(Table1[[#This Row],[Discount]]&gt;=15%,"HIGH",IF(Table1[[#This Row],[Discount]]&gt;=55,"MEDIUM","NONE"))</f>
        <v>NONE</v>
      </c>
      <c r="R238" s="9">
        <f>Table1[[#This Row],[Ship Date]]-Table1[[#This Row],[Order Date]]</f>
        <v>7</v>
      </c>
      <c r="S238" s="9">
        <f>VLOOKUP(Table1[[#This Row],[Region]],Table2[],2,FALSE)</f>
        <v>120000</v>
      </c>
      <c r="T238" s="9">
        <f>INDEX(Table2[Quarterly Target],MATCH(Table1[[#This Row],[Region]],Table2[[Region ]],0))</f>
        <v>120000</v>
      </c>
      <c r="U238" s="9">
        <f>RANK(Table1[[#This Row],[Sales]],Table1[Sales])</f>
        <v>206</v>
      </c>
      <c r="V238" s="21">
        <f>SUM(N$2:N239)</f>
        <v>723078.37450000027</v>
      </c>
    </row>
    <row r="239" spans="1:22" x14ac:dyDescent="0.25">
      <c r="A239" s="5" t="s">
        <v>606</v>
      </c>
      <c r="B239" s="6" t="s">
        <v>607</v>
      </c>
      <c r="C239" s="6" t="s">
        <v>596</v>
      </c>
      <c r="D239" s="7" t="s">
        <v>16</v>
      </c>
      <c r="E239" s="7" t="s">
        <v>37</v>
      </c>
      <c r="F239" s="7" t="s">
        <v>25</v>
      </c>
      <c r="G239" s="7" t="s">
        <v>67</v>
      </c>
      <c r="H239" s="7" t="s">
        <v>33</v>
      </c>
      <c r="I239" s="7" t="s">
        <v>51</v>
      </c>
      <c r="J239" s="7">
        <v>18</v>
      </c>
      <c r="K239" s="24">
        <v>24.84</v>
      </c>
      <c r="L239" s="8">
        <v>0.15</v>
      </c>
      <c r="M239" s="20">
        <v>17.440000000000001</v>
      </c>
      <c r="N239" s="21">
        <f>(Table1[[#This Row],[Quantity]]*Table1[[#This Row],[Unit Price]])*(1-Table1[[#This Row],[Discount]])</f>
        <v>380.05200000000002</v>
      </c>
      <c r="O239" s="21">
        <f>(Table1[[#This Row],[Unit Price]]-Table1[[#This Row],[Unit Cost]])*Table1[[#This Row],[Quantity]]</f>
        <v>133.19999999999999</v>
      </c>
      <c r="P239" s="9" t="str">
        <f t="shared" si="3"/>
        <v>Standard</v>
      </c>
      <c r="Q239" s="9" t="str">
        <f>IF(Table1[[#This Row],[Discount]]&gt;=15%,"HIGH",IF(Table1[[#This Row],[Discount]]&gt;=55,"MEDIUM","NONE"))</f>
        <v>HIGH</v>
      </c>
      <c r="R239" s="9">
        <f>Table1[[#This Row],[Ship Date]]-Table1[[#This Row],[Order Date]]</f>
        <v>4</v>
      </c>
      <c r="S239" s="9">
        <f>VLOOKUP(Table1[[#This Row],[Region]],Table2[],2,FALSE)</f>
        <v>130000</v>
      </c>
      <c r="T239" s="9">
        <f>INDEX(Table2[Quarterly Target],MATCH(Table1[[#This Row],[Region]],Table2[[Region ]],0))</f>
        <v>130000</v>
      </c>
      <c r="U239" s="9">
        <f>RANK(Table1[[#This Row],[Sales]],Table1[Sales])</f>
        <v>253</v>
      </c>
      <c r="V239" s="21">
        <f>SUM(N$2:N240)</f>
        <v>724849.73500000022</v>
      </c>
    </row>
    <row r="240" spans="1:22" x14ac:dyDescent="0.25">
      <c r="A240" s="5" t="s">
        <v>608</v>
      </c>
      <c r="B240" s="6" t="s">
        <v>609</v>
      </c>
      <c r="C240" s="6" t="s">
        <v>330</v>
      </c>
      <c r="D240" s="7" t="s">
        <v>30</v>
      </c>
      <c r="E240" s="7" t="s">
        <v>133</v>
      </c>
      <c r="F240" s="7" t="s">
        <v>18</v>
      </c>
      <c r="G240" s="7" t="s">
        <v>19</v>
      </c>
      <c r="H240" s="7" t="s">
        <v>45</v>
      </c>
      <c r="I240" s="7" t="s">
        <v>143</v>
      </c>
      <c r="J240" s="7">
        <v>13</v>
      </c>
      <c r="K240" s="24">
        <v>143.43</v>
      </c>
      <c r="L240" s="8">
        <v>0.05</v>
      </c>
      <c r="M240" s="20">
        <v>101.77</v>
      </c>
      <c r="N240" s="21">
        <f>(Table1[[#This Row],[Quantity]]*Table1[[#This Row],[Unit Price]])*(1-Table1[[#This Row],[Discount]])</f>
        <v>1771.3605</v>
      </c>
      <c r="O240" s="21">
        <f>(Table1[[#This Row],[Unit Price]]-Table1[[#This Row],[Unit Cost]])*Table1[[#This Row],[Quantity]]</f>
        <v>541.58000000000015</v>
      </c>
      <c r="P240" s="9" t="str">
        <f t="shared" si="3"/>
        <v>Bulk</v>
      </c>
      <c r="Q240" s="9" t="str">
        <f>IF(Table1[[#This Row],[Discount]]&gt;=15%,"HIGH",IF(Table1[[#This Row],[Discount]]&gt;=55,"MEDIUM","NONE"))</f>
        <v>NONE</v>
      </c>
      <c r="R240" s="9">
        <f>Table1[[#This Row],[Ship Date]]-Table1[[#This Row],[Order Date]]</f>
        <v>2</v>
      </c>
      <c r="S240" s="9">
        <f>VLOOKUP(Table1[[#This Row],[Region]],Table2[],2,FALSE)</f>
        <v>140000</v>
      </c>
      <c r="T240" s="9">
        <f>INDEX(Table2[Quarterly Target],MATCH(Table1[[#This Row],[Region]],Table2[[Region ]],0))</f>
        <v>140000</v>
      </c>
      <c r="U240" s="9">
        <f>RANK(Table1[[#This Row],[Sales]],Table1[Sales])</f>
        <v>141</v>
      </c>
      <c r="V240" s="21">
        <f>SUM(N$2:N241)</f>
        <v>725252.2150000002</v>
      </c>
    </row>
    <row r="241" spans="1:22" x14ac:dyDescent="0.25">
      <c r="A241" s="5" t="s">
        <v>610</v>
      </c>
      <c r="B241" s="6" t="s">
        <v>529</v>
      </c>
      <c r="C241" s="6" t="s">
        <v>611</v>
      </c>
      <c r="D241" s="7" t="s">
        <v>30</v>
      </c>
      <c r="E241" s="7" t="s">
        <v>109</v>
      </c>
      <c r="F241" s="7" t="s">
        <v>60</v>
      </c>
      <c r="G241" s="7" t="s">
        <v>97</v>
      </c>
      <c r="H241" s="7" t="s">
        <v>33</v>
      </c>
      <c r="I241" s="7" t="s">
        <v>51</v>
      </c>
      <c r="J241" s="7">
        <v>18</v>
      </c>
      <c r="K241" s="24">
        <v>27.95</v>
      </c>
      <c r="L241" s="8">
        <v>0.2</v>
      </c>
      <c r="M241" s="20">
        <v>18.66</v>
      </c>
      <c r="N241" s="21">
        <f>(Table1[[#This Row],[Quantity]]*Table1[[#This Row],[Unit Price]])*(1-Table1[[#This Row],[Discount]])</f>
        <v>402.48</v>
      </c>
      <c r="O241" s="21">
        <f>(Table1[[#This Row],[Unit Price]]-Table1[[#This Row],[Unit Cost]])*Table1[[#This Row],[Quantity]]</f>
        <v>167.21999999999997</v>
      </c>
      <c r="P241" s="9" t="str">
        <f t="shared" si="3"/>
        <v>Bulk</v>
      </c>
      <c r="Q241" s="9" t="str">
        <f>IF(Table1[[#This Row],[Discount]]&gt;=15%,"HIGH",IF(Table1[[#This Row],[Discount]]&gt;=55,"MEDIUM","NONE"))</f>
        <v>HIGH</v>
      </c>
      <c r="R241" s="9">
        <f>Table1[[#This Row],[Ship Date]]-Table1[[#This Row],[Order Date]]</f>
        <v>2</v>
      </c>
      <c r="S241" s="9">
        <f>VLOOKUP(Table1[[#This Row],[Region]],Table2[],2,FALSE)</f>
        <v>160000</v>
      </c>
      <c r="T241" s="9">
        <f>INDEX(Table2[Quarterly Target],MATCH(Table1[[#This Row],[Region]],Table2[[Region ]],0))</f>
        <v>160000</v>
      </c>
      <c r="U241" s="9">
        <f>RANK(Table1[[#This Row],[Sales]],Table1[Sales])</f>
        <v>246</v>
      </c>
      <c r="V241" s="21">
        <f>SUM(N$2:N242)</f>
        <v>732242.44500000018</v>
      </c>
    </row>
    <row r="242" spans="1:22" x14ac:dyDescent="0.25">
      <c r="A242" s="5" t="s">
        <v>612</v>
      </c>
      <c r="B242" s="6" t="s">
        <v>442</v>
      </c>
      <c r="C242" s="6" t="s">
        <v>498</v>
      </c>
      <c r="D242" s="7" t="s">
        <v>16</v>
      </c>
      <c r="E242" s="7" t="s">
        <v>87</v>
      </c>
      <c r="F242" s="7" t="s">
        <v>18</v>
      </c>
      <c r="G242" s="7" t="s">
        <v>26</v>
      </c>
      <c r="H242" s="7" t="s">
        <v>20</v>
      </c>
      <c r="I242" s="7" t="s">
        <v>21</v>
      </c>
      <c r="J242" s="7">
        <v>13</v>
      </c>
      <c r="K242" s="24">
        <v>632.6</v>
      </c>
      <c r="L242" s="8">
        <v>0.15</v>
      </c>
      <c r="M242" s="20">
        <v>460.63</v>
      </c>
      <c r="N242" s="21">
        <f>(Table1[[#This Row],[Quantity]]*Table1[[#This Row],[Unit Price]])*(1-Table1[[#This Row],[Discount]])</f>
        <v>6990.2300000000005</v>
      </c>
      <c r="O242" s="21">
        <f>(Table1[[#This Row],[Unit Price]]-Table1[[#This Row],[Unit Cost]])*Table1[[#This Row],[Quantity]]</f>
        <v>2235.6100000000006</v>
      </c>
      <c r="P242" s="9" t="str">
        <f t="shared" si="3"/>
        <v>Bulk</v>
      </c>
      <c r="Q242" s="9" t="str">
        <f>IF(Table1[[#This Row],[Discount]]&gt;=15%,"HIGH",IF(Table1[[#This Row],[Discount]]&gt;=55,"MEDIUM","NONE"))</f>
        <v>HIGH</v>
      </c>
      <c r="R242" s="9">
        <f>Table1[[#This Row],[Ship Date]]-Table1[[#This Row],[Order Date]]</f>
        <v>7</v>
      </c>
      <c r="S242" s="9">
        <f>VLOOKUP(Table1[[#This Row],[Region]],Table2[],2,FALSE)</f>
        <v>140000</v>
      </c>
      <c r="T242" s="9">
        <f>INDEX(Table2[Quarterly Target],MATCH(Table1[[#This Row],[Region]],Table2[[Region ]],0))</f>
        <v>140000</v>
      </c>
      <c r="U242" s="9">
        <f>RANK(Table1[[#This Row],[Sales]],Table1[Sales])</f>
        <v>72</v>
      </c>
      <c r="V242" s="21">
        <f>SUM(N$2:N243)</f>
        <v>732336.37800000014</v>
      </c>
    </row>
    <row r="243" spans="1:22" x14ac:dyDescent="0.25">
      <c r="A243" s="5" t="s">
        <v>613</v>
      </c>
      <c r="B243" s="6" t="s">
        <v>309</v>
      </c>
      <c r="C243" s="6" t="s">
        <v>449</v>
      </c>
      <c r="D243" s="7" t="s">
        <v>30</v>
      </c>
      <c r="E243" s="7" t="s">
        <v>122</v>
      </c>
      <c r="F243" s="7" t="s">
        <v>38</v>
      </c>
      <c r="G243" s="7" t="s">
        <v>50</v>
      </c>
      <c r="H243" s="7" t="s">
        <v>61</v>
      </c>
      <c r="I243" s="7" t="s">
        <v>106</v>
      </c>
      <c r="J243" s="7">
        <v>3</v>
      </c>
      <c r="K243" s="24">
        <v>34.79</v>
      </c>
      <c r="L243" s="8">
        <v>0.1</v>
      </c>
      <c r="M243" s="20">
        <v>27.14</v>
      </c>
      <c r="N243" s="21">
        <f>(Table1[[#This Row],[Quantity]]*Table1[[#This Row],[Unit Price]])*(1-Table1[[#This Row],[Discount]])</f>
        <v>93.933000000000007</v>
      </c>
      <c r="O243" s="21">
        <f>(Table1[[#This Row],[Unit Price]]-Table1[[#This Row],[Unit Cost]])*Table1[[#This Row],[Quantity]]</f>
        <v>22.949999999999996</v>
      </c>
      <c r="P243" s="9" t="str">
        <f t="shared" si="3"/>
        <v>Bulk</v>
      </c>
      <c r="Q243" s="9" t="str">
        <f>IF(Table1[[#This Row],[Discount]]&gt;=15%,"HIGH",IF(Table1[[#This Row],[Discount]]&gt;=55,"MEDIUM","NONE"))</f>
        <v>NONE</v>
      </c>
      <c r="R243" s="9">
        <f>Table1[[#This Row],[Ship Date]]-Table1[[#This Row],[Order Date]]</f>
        <v>3</v>
      </c>
      <c r="S243" s="9">
        <f>VLOOKUP(Table1[[#This Row],[Region]],Table2[],2,FALSE)</f>
        <v>120000</v>
      </c>
      <c r="T243" s="9">
        <f>INDEX(Table2[Quarterly Target],MATCH(Table1[[#This Row],[Region]],Table2[[Region ]],0))</f>
        <v>120000</v>
      </c>
      <c r="U243" s="9">
        <f>RANK(Table1[[#This Row],[Sales]],Table1[Sales])</f>
        <v>361</v>
      </c>
      <c r="V243" s="21">
        <f>SUM(N$2:N244)</f>
        <v>735676.33800000011</v>
      </c>
    </row>
    <row r="244" spans="1:22" x14ac:dyDescent="0.25">
      <c r="A244" s="5" t="s">
        <v>614</v>
      </c>
      <c r="B244" s="6" t="s">
        <v>615</v>
      </c>
      <c r="C244" s="6" t="s">
        <v>616</v>
      </c>
      <c r="D244" s="7" t="s">
        <v>16</v>
      </c>
      <c r="E244" s="7" t="s">
        <v>17</v>
      </c>
      <c r="F244" s="7" t="s">
        <v>60</v>
      </c>
      <c r="G244" s="7" t="s">
        <v>26</v>
      </c>
      <c r="H244" s="7" t="s">
        <v>20</v>
      </c>
      <c r="I244" s="7" t="s">
        <v>134</v>
      </c>
      <c r="J244" s="7">
        <v>3</v>
      </c>
      <c r="K244" s="24">
        <v>1113.32</v>
      </c>
      <c r="L244" s="8">
        <v>0</v>
      </c>
      <c r="M244" s="20">
        <v>738.51</v>
      </c>
      <c r="N244" s="21">
        <f>(Table1[[#This Row],[Quantity]]*Table1[[#This Row],[Unit Price]])*(1-Table1[[#This Row],[Discount]])</f>
        <v>3339.96</v>
      </c>
      <c r="O244" s="21">
        <f>(Table1[[#This Row],[Unit Price]]-Table1[[#This Row],[Unit Cost]])*Table1[[#This Row],[Quantity]]</f>
        <v>1124.4299999999998</v>
      </c>
      <c r="P244" s="9" t="str">
        <f t="shared" si="3"/>
        <v>Standard</v>
      </c>
      <c r="Q244" s="9" t="str">
        <f>IF(Table1[[#This Row],[Discount]]&gt;=15%,"HIGH",IF(Table1[[#This Row],[Discount]]&gt;=55,"MEDIUM","NONE"))</f>
        <v>NONE</v>
      </c>
      <c r="R244" s="9">
        <f>Table1[[#This Row],[Ship Date]]-Table1[[#This Row],[Order Date]]</f>
        <v>4</v>
      </c>
      <c r="S244" s="9">
        <f>VLOOKUP(Table1[[#This Row],[Region]],Table2[],2,FALSE)</f>
        <v>160000</v>
      </c>
      <c r="T244" s="9">
        <f>INDEX(Table2[Quarterly Target],MATCH(Table1[[#This Row],[Region]],Table2[[Region ]],0))</f>
        <v>160000</v>
      </c>
      <c r="U244" s="9">
        <f>RANK(Table1[[#This Row],[Sales]],Table1[Sales])</f>
        <v>118</v>
      </c>
      <c r="V244" s="21">
        <f>SUM(N$2:N245)</f>
        <v>746695.65000000014</v>
      </c>
    </row>
    <row r="245" spans="1:22" x14ac:dyDescent="0.25">
      <c r="A245" s="5" t="s">
        <v>617</v>
      </c>
      <c r="B245" s="6" t="s">
        <v>223</v>
      </c>
      <c r="C245" s="6" t="s">
        <v>293</v>
      </c>
      <c r="D245" s="7" t="s">
        <v>16</v>
      </c>
      <c r="E245" s="7" t="s">
        <v>59</v>
      </c>
      <c r="F245" s="7" t="s">
        <v>43</v>
      </c>
      <c r="G245" s="7" t="s">
        <v>26</v>
      </c>
      <c r="H245" s="7" t="s">
        <v>45</v>
      </c>
      <c r="I245" s="7" t="s">
        <v>46</v>
      </c>
      <c r="J245" s="7">
        <v>16</v>
      </c>
      <c r="K245" s="24">
        <v>765.23</v>
      </c>
      <c r="L245" s="8">
        <v>0.1</v>
      </c>
      <c r="M245" s="20">
        <v>519.83000000000004</v>
      </c>
      <c r="N245" s="21">
        <f>(Table1[[#This Row],[Quantity]]*Table1[[#This Row],[Unit Price]])*(1-Table1[[#This Row],[Discount]])</f>
        <v>11019.312</v>
      </c>
      <c r="O245" s="21">
        <f>(Table1[[#This Row],[Unit Price]]-Table1[[#This Row],[Unit Cost]])*Table1[[#This Row],[Quantity]]</f>
        <v>3926.3999999999996</v>
      </c>
      <c r="P245" s="9" t="str">
        <f t="shared" si="3"/>
        <v>Standard</v>
      </c>
      <c r="Q245" s="9" t="str">
        <f>IF(Table1[[#This Row],[Discount]]&gt;=15%,"HIGH",IF(Table1[[#This Row],[Discount]]&gt;=55,"MEDIUM","NONE"))</f>
        <v>NONE</v>
      </c>
      <c r="R245" s="9">
        <f>Table1[[#This Row],[Ship Date]]-Table1[[#This Row],[Order Date]]</f>
        <v>6</v>
      </c>
      <c r="S245" s="9">
        <f>VLOOKUP(Table1[[#This Row],[Region]],Table2[],2,FALSE)</f>
        <v>150000</v>
      </c>
      <c r="T245" s="9">
        <f>INDEX(Table2[Quarterly Target],MATCH(Table1[[#This Row],[Region]],Table2[[Region ]],0))</f>
        <v>150000</v>
      </c>
      <c r="U245" s="9">
        <f>RANK(Table1[[#This Row],[Sales]],Table1[Sales])</f>
        <v>38</v>
      </c>
      <c r="V245" s="21">
        <f>SUM(N$2:N246)</f>
        <v>750724.50000000012</v>
      </c>
    </row>
    <row r="246" spans="1:22" x14ac:dyDescent="0.25">
      <c r="A246" s="5" t="s">
        <v>618</v>
      </c>
      <c r="B246" s="6" t="s">
        <v>189</v>
      </c>
      <c r="C246" s="6" t="s">
        <v>554</v>
      </c>
      <c r="D246" s="7" t="s">
        <v>30</v>
      </c>
      <c r="E246" s="7" t="s">
        <v>91</v>
      </c>
      <c r="F246" s="7" t="s">
        <v>43</v>
      </c>
      <c r="G246" s="7" t="s">
        <v>32</v>
      </c>
      <c r="H246" s="7" t="s">
        <v>45</v>
      </c>
      <c r="I246" s="7" t="s">
        <v>148</v>
      </c>
      <c r="J246" s="7">
        <v>9</v>
      </c>
      <c r="K246" s="24">
        <v>447.65</v>
      </c>
      <c r="L246" s="8">
        <v>0</v>
      </c>
      <c r="M246" s="20">
        <v>325.93</v>
      </c>
      <c r="N246" s="21">
        <f>(Table1[[#This Row],[Quantity]]*Table1[[#This Row],[Unit Price]])*(1-Table1[[#This Row],[Discount]])</f>
        <v>4028.85</v>
      </c>
      <c r="O246" s="21">
        <f>(Table1[[#This Row],[Unit Price]]-Table1[[#This Row],[Unit Cost]])*Table1[[#This Row],[Quantity]]</f>
        <v>1095.4799999999998</v>
      </c>
      <c r="P246" s="9" t="str">
        <f t="shared" si="3"/>
        <v>Bulk</v>
      </c>
      <c r="Q246" s="9" t="str">
        <f>IF(Table1[[#This Row],[Discount]]&gt;=15%,"HIGH",IF(Table1[[#This Row],[Discount]]&gt;=55,"MEDIUM","NONE"))</f>
        <v>NONE</v>
      </c>
      <c r="R246" s="9">
        <f>Table1[[#This Row],[Ship Date]]-Table1[[#This Row],[Order Date]]</f>
        <v>3</v>
      </c>
      <c r="S246" s="9">
        <f>VLOOKUP(Table1[[#This Row],[Region]],Table2[],2,FALSE)</f>
        <v>150000</v>
      </c>
      <c r="T246" s="9">
        <f>INDEX(Table2[Quarterly Target],MATCH(Table1[[#This Row],[Region]],Table2[[Region ]],0))</f>
        <v>150000</v>
      </c>
      <c r="U246" s="9">
        <f>RANK(Table1[[#This Row],[Sales]],Table1[Sales])</f>
        <v>106</v>
      </c>
      <c r="V246" s="21">
        <f>SUM(N$2:N247)</f>
        <v>750794.64000000013</v>
      </c>
    </row>
    <row r="247" spans="1:22" x14ac:dyDescent="0.25">
      <c r="A247" s="5" t="s">
        <v>619</v>
      </c>
      <c r="B247" s="6" t="s">
        <v>620</v>
      </c>
      <c r="C247" s="6" t="s">
        <v>621</v>
      </c>
      <c r="D247" s="7" t="s">
        <v>30</v>
      </c>
      <c r="E247" s="7" t="s">
        <v>109</v>
      </c>
      <c r="F247" s="7" t="s">
        <v>60</v>
      </c>
      <c r="G247" s="7" t="s">
        <v>50</v>
      </c>
      <c r="H247" s="7" t="s">
        <v>33</v>
      </c>
      <c r="I247" s="7" t="s">
        <v>34</v>
      </c>
      <c r="J247" s="7">
        <v>6</v>
      </c>
      <c r="K247" s="24">
        <v>11.69</v>
      </c>
      <c r="L247" s="8">
        <v>0</v>
      </c>
      <c r="M247" s="20">
        <v>9.0399999999999991</v>
      </c>
      <c r="N247" s="21">
        <f>(Table1[[#This Row],[Quantity]]*Table1[[#This Row],[Unit Price]])*(1-Table1[[#This Row],[Discount]])</f>
        <v>70.14</v>
      </c>
      <c r="O247" s="21">
        <f>(Table1[[#This Row],[Unit Price]]-Table1[[#This Row],[Unit Cost]])*Table1[[#This Row],[Quantity]]</f>
        <v>15.900000000000002</v>
      </c>
      <c r="P247" s="9" t="str">
        <f t="shared" si="3"/>
        <v>Standard</v>
      </c>
      <c r="Q247" s="9" t="str">
        <f>IF(Table1[[#This Row],[Discount]]&gt;=15%,"HIGH",IF(Table1[[#This Row],[Discount]]&gt;=55,"MEDIUM","NONE"))</f>
        <v>NONE</v>
      </c>
      <c r="R247" s="9">
        <f>Table1[[#This Row],[Ship Date]]-Table1[[#This Row],[Order Date]]</f>
        <v>2</v>
      </c>
      <c r="S247" s="9">
        <f>VLOOKUP(Table1[[#This Row],[Region]],Table2[],2,FALSE)</f>
        <v>160000</v>
      </c>
      <c r="T247" s="9">
        <f>INDEX(Table2[Quarterly Target],MATCH(Table1[[#This Row],[Region]],Table2[[Region ]],0))</f>
        <v>160000</v>
      </c>
      <c r="U247" s="9">
        <f>RANK(Table1[[#This Row],[Sales]],Table1[Sales])</f>
        <v>371</v>
      </c>
      <c r="V247" s="21">
        <f>SUM(N$2:N248)</f>
        <v>756679.80000000016</v>
      </c>
    </row>
    <row r="248" spans="1:22" x14ac:dyDescent="0.25">
      <c r="A248" s="5" t="s">
        <v>622</v>
      </c>
      <c r="B248" s="6" t="s">
        <v>623</v>
      </c>
      <c r="C248" s="6" t="s">
        <v>624</v>
      </c>
      <c r="D248" s="7" t="s">
        <v>30</v>
      </c>
      <c r="E248" s="7" t="s">
        <v>17</v>
      </c>
      <c r="F248" s="7" t="s">
        <v>43</v>
      </c>
      <c r="G248" s="7" t="s">
        <v>26</v>
      </c>
      <c r="H248" s="7" t="s">
        <v>20</v>
      </c>
      <c r="I248" s="7" t="s">
        <v>21</v>
      </c>
      <c r="J248" s="7">
        <v>12</v>
      </c>
      <c r="K248" s="24">
        <v>490.43</v>
      </c>
      <c r="L248" s="8">
        <v>0</v>
      </c>
      <c r="M248" s="20">
        <v>291.68</v>
      </c>
      <c r="N248" s="21">
        <f>(Table1[[#This Row],[Quantity]]*Table1[[#This Row],[Unit Price]])*(1-Table1[[#This Row],[Discount]])</f>
        <v>5885.16</v>
      </c>
      <c r="O248" s="21">
        <f>(Table1[[#This Row],[Unit Price]]-Table1[[#This Row],[Unit Cost]])*Table1[[#This Row],[Quantity]]</f>
        <v>2385</v>
      </c>
      <c r="P248" s="9" t="str">
        <f t="shared" si="3"/>
        <v>Standard</v>
      </c>
      <c r="Q248" s="9" t="str">
        <f>IF(Table1[[#This Row],[Discount]]&gt;=15%,"HIGH",IF(Table1[[#This Row],[Discount]]&gt;=55,"MEDIUM","NONE"))</f>
        <v>NONE</v>
      </c>
      <c r="R248" s="9">
        <f>Table1[[#This Row],[Ship Date]]-Table1[[#This Row],[Order Date]]</f>
        <v>3</v>
      </c>
      <c r="S248" s="9">
        <f>VLOOKUP(Table1[[#This Row],[Region]],Table2[],2,FALSE)</f>
        <v>150000</v>
      </c>
      <c r="T248" s="9">
        <f>INDEX(Table2[Quarterly Target],MATCH(Table1[[#This Row],[Region]],Table2[[Region ]],0))</f>
        <v>150000</v>
      </c>
      <c r="U248" s="9">
        <f>RANK(Table1[[#This Row],[Sales]],Table1[Sales])</f>
        <v>85</v>
      </c>
      <c r="V248" s="21">
        <f>SUM(N$2:N249)</f>
        <v>756956.30700000015</v>
      </c>
    </row>
    <row r="249" spans="1:22" x14ac:dyDescent="0.25">
      <c r="A249" s="5" t="s">
        <v>625</v>
      </c>
      <c r="B249" s="6" t="s">
        <v>370</v>
      </c>
      <c r="C249" s="6" t="s">
        <v>494</v>
      </c>
      <c r="D249" s="7" t="s">
        <v>16</v>
      </c>
      <c r="E249" s="7" t="s">
        <v>117</v>
      </c>
      <c r="F249" s="7" t="s">
        <v>60</v>
      </c>
      <c r="G249" s="7" t="s">
        <v>44</v>
      </c>
      <c r="H249" s="7" t="s">
        <v>33</v>
      </c>
      <c r="I249" s="7" t="s">
        <v>51</v>
      </c>
      <c r="J249" s="7">
        <v>19</v>
      </c>
      <c r="K249" s="24">
        <v>16.170000000000002</v>
      </c>
      <c r="L249" s="8">
        <v>0.1</v>
      </c>
      <c r="M249" s="20">
        <v>11.62</v>
      </c>
      <c r="N249" s="21">
        <f>(Table1[[#This Row],[Quantity]]*Table1[[#This Row],[Unit Price]])*(1-Table1[[#This Row],[Discount]])</f>
        <v>276.50700000000001</v>
      </c>
      <c r="O249" s="21">
        <f>(Table1[[#This Row],[Unit Price]]-Table1[[#This Row],[Unit Cost]])*Table1[[#This Row],[Quantity]]</f>
        <v>86.450000000000045</v>
      </c>
      <c r="P249" s="9" t="str">
        <f t="shared" si="3"/>
        <v>Bulk</v>
      </c>
      <c r="Q249" s="9" t="str">
        <f>IF(Table1[[#This Row],[Discount]]&gt;=15%,"HIGH",IF(Table1[[#This Row],[Discount]]&gt;=55,"MEDIUM","NONE"))</f>
        <v>NONE</v>
      </c>
      <c r="R249" s="9">
        <f>Table1[[#This Row],[Ship Date]]-Table1[[#This Row],[Order Date]]</f>
        <v>4</v>
      </c>
      <c r="S249" s="9">
        <f>VLOOKUP(Table1[[#This Row],[Region]],Table2[],2,FALSE)</f>
        <v>160000</v>
      </c>
      <c r="T249" s="9">
        <f>INDEX(Table2[Quarterly Target],MATCH(Table1[[#This Row],[Region]],Table2[[Region ]],0))</f>
        <v>160000</v>
      </c>
      <c r="U249" s="9">
        <f>RANK(Table1[[#This Row],[Sales]],Table1[Sales])</f>
        <v>284</v>
      </c>
      <c r="V249" s="21">
        <f>SUM(N$2:N250)</f>
        <v>758516.91000000015</v>
      </c>
    </row>
    <row r="250" spans="1:22" x14ac:dyDescent="0.25">
      <c r="A250" s="5" t="s">
        <v>626</v>
      </c>
      <c r="B250" s="6" t="s">
        <v>627</v>
      </c>
      <c r="C250" s="6" t="s">
        <v>359</v>
      </c>
      <c r="D250" s="7" t="s">
        <v>30</v>
      </c>
      <c r="E250" s="7" t="s">
        <v>75</v>
      </c>
      <c r="F250" s="7" t="s">
        <v>43</v>
      </c>
      <c r="G250" s="7" t="s">
        <v>44</v>
      </c>
      <c r="H250" s="7" t="s">
        <v>20</v>
      </c>
      <c r="I250" s="7" t="s">
        <v>139</v>
      </c>
      <c r="J250" s="7">
        <v>11</v>
      </c>
      <c r="K250" s="24">
        <v>149.34</v>
      </c>
      <c r="L250" s="8">
        <v>0.05</v>
      </c>
      <c r="M250" s="20">
        <v>82.43</v>
      </c>
      <c r="N250" s="21">
        <f>(Table1[[#This Row],[Quantity]]*Table1[[#This Row],[Unit Price]])*(1-Table1[[#This Row],[Discount]])</f>
        <v>1560.6029999999998</v>
      </c>
      <c r="O250" s="21">
        <f>(Table1[[#This Row],[Unit Price]]-Table1[[#This Row],[Unit Cost]])*Table1[[#This Row],[Quantity]]</f>
        <v>736.01</v>
      </c>
      <c r="P250" s="9" t="str">
        <f t="shared" si="3"/>
        <v>Bulk</v>
      </c>
      <c r="Q250" s="9" t="str">
        <f>IF(Table1[[#This Row],[Discount]]&gt;=15%,"HIGH",IF(Table1[[#This Row],[Discount]]&gt;=55,"MEDIUM","NONE"))</f>
        <v>NONE</v>
      </c>
      <c r="R250" s="9">
        <f>Table1[[#This Row],[Ship Date]]-Table1[[#This Row],[Order Date]]</f>
        <v>3</v>
      </c>
      <c r="S250" s="9">
        <f>VLOOKUP(Table1[[#This Row],[Region]],Table2[],2,FALSE)</f>
        <v>150000</v>
      </c>
      <c r="T250" s="9">
        <f>INDEX(Table2[Quarterly Target],MATCH(Table1[[#This Row],[Region]],Table2[[Region ]],0))</f>
        <v>150000</v>
      </c>
      <c r="U250" s="9">
        <f>RANK(Table1[[#This Row],[Sales]],Table1[Sales])</f>
        <v>147</v>
      </c>
      <c r="V250" s="21">
        <f>SUM(N$2:N251)</f>
        <v>759027.88600000017</v>
      </c>
    </row>
    <row r="251" spans="1:22" x14ac:dyDescent="0.25">
      <c r="A251" s="5" t="s">
        <v>628</v>
      </c>
      <c r="B251" s="6" t="s">
        <v>629</v>
      </c>
      <c r="C251" s="6" t="s">
        <v>629</v>
      </c>
      <c r="D251" s="7" t="s">
        <v>24</v>
      </c>
      <c r="E251" s="7" t="s">
        <v>75</v>
      </c>
      <c r="F251" s="7" t="s">
        <v>25</v>
      </c>
      <c r="G251" s="7" t="s">
        <v>32</v>
      </c>
      <c r="H251" s="7" t="s">
        <v>33</v>
      </c>
      <c r="I251" s="7" t="s">
        <v>153</v>
      </c>
      <c r="J251" s="7">
        <v>16</v>
      </c>
      <c r="K251" s="24">
        <v>39.92</v>
      </c>
      <c r="L251" s="8">
        <v>0.2</v>
      </c>
      <c r="M251" s="20">
        <v>23.91</v>
      </c>
      <c r="N251" s="21">
        <f>(Table1[[#This Row],[Quantity]]*Table1[[#This Row],[Unit Price]])*(1-Table1[[#This Row],[Discount]])</f>
        <v>510.97600000000006</v>
      </c>
      <c r="O251" s="21">
        <f>(Table1[[#This Row],[Unit Price]]-Table1[[#This Row],[Unit Cost]])*Table1[[#This Row],[Quantity]]</f>
        <v>256.16000000000003</v>
      </c>
      <c r="P251" s="9" t="str">
        <f t="shared" si="3"/>
        <v>Bulk</v>
      </c>
      <c r="Q251" s="9" t="str">
        <f>IF(Table1[[#This Row],[Discount]]&gt;=15%,"HIGH",IF(Table1[[#This Row],[Discount]]&gt;=55,"MEDIUM","NONE"))</f>
        <v>HIGH</v>
      </c>
      <c r="R251" s="9">
        <f>Table1[[#This Row],[Ship Date]]-Table1[[#This Row],[Order Date]]</f>
        <v>0</v>
      </c>
      <c r="S251" s="9">
        <f>VLOOKUP(Table1[[#This Row],[Region]],Table2[],2,FALSE)</f>
        <v>130000</v>
      </c>
      <c r="T251" s="9">
        <f>INDEX(Table2[Quarterly Target],MATCH(Table1[[#This Row],[Region]],Table2[[Region ]],0))</f>
        <v>130000</v>
      </c>
      <c r="U251" s="9">
        <f>RANK(Table1[[#This Row],[Sales]],Table1[Sales])</f>
        <v>223</v>
      </c>
      <c r="V251" s="21">
        <f>SUM(N$2:N252)</f>
        <v>760872.02600000019</v>
      </c>
    </row>
    <row r="252" spans="1:22" x14ac:dyDescent="0.25">
      <c r="A252" s="5" t="s">
        <v>630</v>
      </c>
      <c r="B252" s="6" t="s">
        <v>177</v>
      </c>
      <c r="C252" s="6" t="s">
        <v>177</v>
      </c>
      <c r="D252" s="7" t="s">
        <v>24</v>
      </c>
      <c r="E252" s="7" t="s">
        <v>122</v>
      </c>
      <c r="F252" s="7" t="s">
        <v>25</v>
      </c>
      <c r="G252" s="7" t="s">
        <v>32</v>
      </c>
      <c r="H252" s="7" t="s">
        <v>61</v>
      </c>
      <c r="I252" s="7" t="s">
        <v>106</v>
      </c>
      <c r="J252" s="7">
        <v>23</v>
      </c>
      <c r="K252" s="24">
        <v>80.180000000000007</v>
      </c>
      <c r="L252" s="8">
        <v>0</v>
      </c>
      <c r="M252" s="20">
        <v>44.13</v>
      </c>
      <c r="N252" s="21">
        <f>(Table1[[#This Row],[Quantity]]*Table1[[#This Row],[Unit Price]])*(1-Table1[[#This Row],[Discount]])</f>
        <v>1844.14</v>
      </c>
      <c r="O252" s="21">
        <f>(Table1[[#This Row],[Unit Price]]-Table1[[#This Row],[Unit Cost]])*Table1[[#This Row],[Quantity]]</f>
        <v>829.15000000000009</v>
      </c>
      <c r="P252" s="9" t="str">
        <f t="shared" si="3"/>
        <v>Bulk</v>
      </c>
      <c r="Q252" s="9" t="str">
        <f>IF(Table1[[#This Row],[Discount]]&gt;=15%,"HIGH",IF(Table1[[#This Row],[Discount]]&gt;=55,"MEDIUM","NONE"))</f>
        <v>NONE</v>
      </c>
      <c r="R252" s="9">
        <f>Table1[[#This Row],[Ship Date]]-Table1[[#This Row],[Order Date]]</f>
        <v>0</v>
      </c>
      <c r="S252" s="9">
        <f>VLOOKUP(Table1[[#This Row],[Region]],Table2[],2,FALSE)</f>
        <v>130000</v>
      </c>
      <c r="T252" s="9">
        <f>INDEX(Table2[Quarterly Target],MATCH(Table1[[#This Row],[Region]],Table2[[Region ]],0))</f>
        <v>130000</v>
      </c>
      <c r="U252" s="9">
        <f>RANK(Table1[[#This Row],[Sales]],Table1[Sales])</f>
        <v>140</v>
      </c>
      <c r="V252" s="21">
        <f>SUM(N$2:N253)</f>
        <v>763805.12600000016</v>
      </c>
    </row>
    <row r="253" spans="1:22" x14ac:dyDescent="0.25">
      <c r="A253" s="5" t="s">
        <v>631</v>
      </c>
      <c r="B253" s="6" t="s">
        <v>579</v>
      </c>
      <c r="C253" s="6" t="s">
        <v>632</v>
      </c>
      <c r="D253" s="7" t="s">
        <v>16</v>
      </c>
      <c r="E253" s="7" t="s">
        <v>31</v>
      </c>
      <c r="F253" s="7" t="s">
        <v>25</v>
      </c>
      <c r="G253" s="7" t="s">
        <v>82</v>
      </c>
      <c r="H253" s="7" t="s">
        <v>45</v>
      </c>
      <c r="I253" s="7" t="s">
        <v>83</v>
      </c>
      <c r="J253" s="7">
        <v>5</v>
      </c>
      <c r="K253" s="24">
        <v>586.62</v>
      </c>
      <c r="L253" s="8">
        <v>0</v>
      </c>
      <c r="M253" s="20">
        <v>329.08</v>
      </c>
      <c r="N253" s="21">
        <f>(Table1[[#This Row],[Quantity]]*Table1[[#This Row],[Unit Price]])*(1-Table1[[#This Row],[Discount]])</f>
        <v>2933.1</v>
      </c>
      <c r="O253" s="21">
        <f>(Table1[[#This Row],[Unit Price]]-Table1[[#This Row],[Unit Cost]])*Table1[[#This Row],[Quantity]]</f>
        <v>1287.7</v>
      </c>
      <c r="P253" s="9" t="str">
        <f t="shared" si="3"/>
        <v>Bulk</v>
      </c>
      <c r="Q253" s="9" t="str">
        <f>IF(Table1[[#This Row],[Discount]]&gt;=15%,"HIGH",IF(Table1[[#This Row],[Discount]]&gt;=55,"MEDIUM","NONE"))</f>
        <v>NONE</v>
      </c>
      <c r="R253" s="9">
        <f>Table1[[#This Row],[Ship Date]]-Table1[[#This Row],[Order Date]]</f>
        <v>5</v>
      </c>
      <c r="S253" s="9">
        <f>VLOOKUP(Table1[[#This Row],[Region]],Table2[],2,FALSE)</f>
        <v>130000</v>
      </c>
      <c r="T253" s="9">
        <f>INDEX(Table2[Quarterly Target],MATCH(Table1[[#This Row],[Region]],Table2[[Region ]],0))</f>
        <v>130000</v>
      </c>
      <c r="U253" s="9">
        <f>RANK(Table1[[#This Row],[Sales]],Table1[Sales])</f>
        <v>125</v>
      </c>
      <c r="V253" s="21">
        <f>SUM(N$2:N254)</f>
        <v>763929.62350000022</v>
      </c>
    </row>
    <row r="254" spans="1:22" x14ac:dyDescent="0.25">
      <c r="A254" s="5" t="s">
        <v>633</v>
      </c>
      <c r="B254" s="6" t="s">
        <v>634</v>
      </c>
      <c r="C254" s="6" t="s">
        <v>634</v>
      </c>
      <c r="D254" s="7" t="s">
        <v>24</v>
      </c>
      <c r="E254" s="7" t="s">
        <v>109</v>
      </c>
      <c r="F254" s="7" t="s">
        <v>43</v>
      </c>
      <c r="G254" s="7" t="s">
        <v>67</v>
      </c>
      <c r="H254" s="7" t="s">
        <v>33</v>
      </c>
      <c r="I254" s="7" t="s">
        <v>76</v>
      </c>
      <c r="J254" s="7">
        <v>5</v>
      </c>
      <c r="K254" s="24">
        <v>26.21</v>
      </c>
      <c r="L254" s="8">
        <v>0.05</v>
      </c>
      <c r="M254" s="20">
        <v>14.91</v>
      </c>
      <c r="N254" s="21">
        <f>(Table1[[#This Row],[Quantity]]*Table1[[#This Row],[Unit Price]])*(1-Table1[[#This Row],[Discount]])</f>
        <v>124.4975</v>
      </c>
      <c r="O254" s="21">
        <f>(Table1[[#This Row],[Unit Price]]-Table1[[#This Row],[Unit Cost]])*Table1[[#This Row],[Quantity]]</f>
        <v>56.5</v>
      </c>
      <c r="P254" s="9" t="str">
        <f t="shared" si="3"/>
        <v>Standard</v>
      </c>
      <c r="Q254" s="9" t="str">
        <f>IF(Table1[[#This Row],[Discount]]&gt;=15%,"HIGH",IF(Table1[[#This Row],[Discount]]&gt;=55,"MEDIUM","NONE"))</f>
        <v>NONE</v>
      </c>
      <c r="R254" s="9">
        <f>Table1[[#This Row],[Ship Date]]-Table1[[#This Row],[Order Date]]</f>
        <v>0</v>
      </c>
      <c r="S254" s="9">
        <f>VLOOKUP(Table1[[#This Row],[Region]],Table2[],2,FALSE)</f>
        <v>150000</v>
      </c>
      <c r="T254" s="9">
        <f>INDEX(Table2[Quarterly Target],MATCH(Table1[[#This Row],[Region]],Table2[[Region ]],0))</f>
        <v>150000</v>
      </c>
      <c r="U254" s="9">
        <f>RANK(Table1[[#This Row],[Sales]],Table1[Sales])</f>
        <v>347</v>
      </c>
      <c r="V254" s="21">
        <f>SUM(N$2:N255)</f>
        <v>779468.65350000025</v>
      </c>
    </row>
    <row r="255" spans="1:22" x14ac:dyDescent="0.25">
      <c r="A255" s="5" t="s">
        <v>635</v>
      </c>
      <c r="B255" s="6" t="s">
        <v>58</v>
      </c>
      <c r="C255" s="6" t="s">
        <v>636</v>
      </c>
      <c r="D255" s="7" t="s">
        <v>30</v>
      </c>
      <c r="E255" s="7" t="s">
        <v>37</v>
      </c>
      <c r="F255" s="7" t="s">
        <v>18</v>
      </c>
      <c r="G255" s="7" t="s">
        <v>32</v>
      </c>
      <c r="H255" s="7" t="s">
        <v>45</v>
      </c>
      <c r="I255" s="7" t="s">
        <v>68</v>
      </c>
      <c r="J255" s="7">
        <v>23</v>
      </c>
      <c r="K255" s="24">
        <v>675.61</v>
      </c>
      <c r="L255" s="8">
        <v>0</v>
      </c>
      <c r="M255" s="20">
        <v>425.31</v>
      </c>
      <c r="N255" s="21">
        <f>(Table1[[#This Row],[Quantity]]*Table1[[#This Row],[Unit Price]])*(1-Table1[[#This Row],[Discount]])</f>
        <v>15539.03</v>
      </c>
      <c r="O255" s="21">
        <f>(Table1[[#This Row],[Unit Price]]-Table1[[#This Row],[Unit Cost]])*Table1[[#This Row],[Quantity]]</f>
        <v>5756.9000000000005</v>
      </c>
      <c r="P255" s="9" t="str">
        <f t="shared" si="3"/>
        <v>Standard</v>
      </c>
      <c r="Q255" s="9" t="str">
        <f>IF(Table1[[#This Row],[Discount]]&gt;=15%,"HIGH",IF(Table1[[#This Row],[Discount]]&gt;=55,"MEDIUM","NONE"))</f>
        <v>NONE</v>
      </c>
      <c r="R255" s="9">
        <f>Table1[[#This Row],[Ship Date]]-Table1[[#This Row],[Order Date]]</f>
        <v>2</v>
      </c>
      <c r="S255" s="9">
        <f>VLOOKUP(Table1[[#This Row],[Region]],Table2[],2,FALSE)</f>
        <v>140000</v>
      </c>
      <c r="T255" s="9">
        <f>INDEX(Table2[Quarterly Target],MATCH(Table1[[#This Row],[Region]],Table2[[Region ]],0))</f>
        <v>140000</v>
      </c>
      <c r="U255" s="9">
        <f>RANK(Table1[[#This Row],[Sales]],Table1[Sales])</f>
        <v>13</v>
      </c>
      <c r="V255" s="21">
        <f>SUM(N$2:N256)</f>
        <v>781824.73350000021</v>
      </c>
    </row>
    <row r="256" spans="1:22" x14ac:dyDescent="0.25">
      <c r="A256" s="5" t="s">
        <v>637</v>
      </c>
      <c r="B256" s="6" t="s">
        <v>638</v>
      </c>
      <c r="C256" s="6" t="s">
        <v>639</v>
      </c>
      <c r="D256" s="7" t="s">
        <v>16</v>
      </c>
      <c r="E256" s="7" t="s">
        <v>96</v>
      </c>
      <c r="F256" s="7" t="s">
        <v>38</v>
      </c>
      <c r="G256" s="7" t="s">
        <v>50</v>
      </c>
      <c r="H256" s="7" t="s">
        <v>45</v>
      </c>
      <c r="I256" s="7" t="s">
        <v>68</v>
      </c>
      <c r="J256" s="7">
        <v>6</v>
      </c>
      <c r="K256" s="24">
        <v>392.68</v>
      </c>
      <c r="L256" s="8">
        <v>0</v>
      </c>
      <c r="M256" s="20">
        <v>255.88</v>
      </c>
      <c r="N256" s="21">
        <f>(Table1[[#This Row],[Quantity]]*Table1[[#This Row],[Unit Price]])*(1-Table1[[#This Row],[Discount]])</f>
        <v>2356.08</v>
      </c>
      <c r="O256" s="21">
        <f>(Table1[[#This Row],[Unit Price]]-Table1[[#This Row],[Unit Cost]])*Table1[[#This Row],[Quantity]]</f>
        <v>820.80000000000007</v>
      </c>
      <c r="P256" s="9" t="str">
        <f t="shared" si="3"/>
        <v>Bulk</v>
      </c>
      <c r="Q256" s="9" t="str">
        <f>IF(Table1[[#This Row],[Discount]]&gt;=15%,"HIGH",IF(Table1[[#This Row],[Discount]]&gt;=55,"MEDIUM","NONE"))</f>
        <v>NONE</v>
      </c>
      <c r="R256" s="9">
        <f>Table1[[#This Row],[Ship Date]]-Table1[[#This Row],[Order Date]]</f>
        <v>6</v>
      </c>
      <c r="S256" s="9">
        <f>VLOOKUP(Table1[[#This Row],[Region]],Table2[],2,FALSE)</f>
        <v>120000</v>
      </c>
      <c r="T256" s="9">
        <f>INDEX(Table2[Quarterly Target],MATCH(Table1[[#This Row],[Region]],Table2[[Region ]],0))</f>
        <v>120000</v>
      </c>
      <c r="U256" s="9">
        <f>RANK(Table1[[#This Row],[Sales]],Table1[Sales])</f>
        <v>131</v>
      </c>
      <c r="V256" s="21">
        <f>SUM(N$2:N257)</f>
        <v>782078.30550000025</v>
      </c>
    </row>
    <row r="257" spans="1:22" x14ac:dyDescent="0.25">
      <c r="A257" s="5" t="s">
        <v>640</v>
      </c>
      <c r="B257" s="6" t="s">
        <v>641</v>
      </c>
      <c r="C257" s="6" t="s">
        <v>620</v>
      </c>
      <c r="D257" s="7" t="s">
        <v>16</v>
      </c>
      <c r="E257" s="7" t="s">
        <v>96</v>
      </c>
      <c r="F257" s="7" t="s">
        <v>18</v>
      </c>
      <c r="G257" s="7" t="s">
        <v>67</v>
      </c>
      <c r="H257" s="7" t="s">
        <v>33</v>
      </c>
      <c r="I257" s="7" t="s">
        <v>76</v>
      </c>
      <c r="J257" s="7">
        <v>22</v>
      </c>
      <c r="K257" s="24">
        <v>13.56</v>
      </c>
      <c r="L257" s="8">
        <v>0.15</v>
      </c>
      <c r="M257" s="20">
        <v>9.82</v>
      </c>
      <c r="N257" s="21">
        <f>(Table1[[#This Row],[Quantity]]*Table1[[#This Row],[Unit Price]])*(1-Table1[[#This Row],[Discount]])</f>
        <v>253.57199999999997</v>
      </c>
      <c r="O257" s="21">
        <f>(Table1[[#This Row],[Unit Price]]-Table1[[#This Row],[Unit Cost]])*Table1[[#This Row],[Quantity]]</f>
        <v>82.28</v>
      </c>
      <c r="P257" s="9" t="str">
        <f t="shared" si="3"/>
        <v>Standard</v>
      </c>
      <c r="Q257" s="9" t="str">
        <f>IF(Table1[[#This Row],[Discount]]&gt;=15%,"HIGH",IF(Table1[[#This Row],[Discount]]&gt;=55,"MEDIUM","NONE"))</f>
        <v>HIGH</v>
      </c>
      <c r="R257" s="9">
        <f>Table1[[#This Row],[Ship Date]]-Table1[[#This Row],[Order Date]]</f>
        <v>4</v>
      </c>
      <c r="S257" s="9">
        <f>VLOOKUP(Table1[[#This Row],[Region]],Table2[],2,FALSE)</f>
        <v>140000</v>
      </c>
      <c r="T257" s="9">
        <f>INDEX(Table2[Quarterly Target],MATCH(Table1[[#This Row],[Region]],Table2[[Region ]],0))</f>
        <v>140000</v>
      </c>
      <c r="U257" s="9">
        <f>RANK(Table1[[#This Row],[Sales]],Table1[Sales])</f>
        <v>290</v>
      </c>
      <c r="V257" s="21">
        <f>SUM(N$2:N258)</f>
        <v>783200.54550000024</v>
      </c>
    </row>
    <row r="258" spans="1:22" x14ac:dyDescent="0.25">
      <c r="A258" s="5" t="s">
        <v>642</v>
      </c>
      <c r="B258" s="6" t="s">
        <v>427</v>
      </c>
      <c r="C258" s="6" t="s">
        <v>427</v>
      </c>
      <c r="D258" s="7" t="s">
        <v>24</v>
      </c>
      <c r="E258" s="7" t="s">
        <v>206</v>
      </c>
      <c r="F258" s="7" t="s">
        <v>25</v>
      </c>
      <c r="G258" s="7" t="s">
        <v>97</v>
      </c>
      <c r="H258" s="7" t="s">
        <v>45</v>
      </c>
      <c r="I258" s="7" t="s">
        <v>46</v>
      </c>
      <c r="J258" s="7">
        <v>2</v>
      </c>
      <c r="K258" s="24">
        <v>561.12</v>
      </c>
      <c r="L258" s="8">
        <v>0</v>
      </c>
      <c r="M258" s="20">
        <v>423.66</v>
      </c>
      <c r="N258" s="21">
        <f>(Table1[[#This Row],[Quantity]]*Table1[[#This Row],[Unit Price]])*(1-Table1[[#This Row],[Discount]])</f>
        <v>1122.24</v>
      </c>
      <c r="O258" s="21">
        <f>(Table1[[#This Row],[Unit Price]]-Table1[[#This Row],[Unit Cost]])*Table1[[#This Row],[Quantity]]</f>
        <v>274.91999999999996</v>
      </c>
      <c r="P258" s="9" t="str">
        <f t="shared" ref="P258:P321" si="4">IF(J257&gt;10,"Bulk","Standard")</f>
        <v>Bulk</v>
      </c>
      <c r="Q258" s="9" t="str">
        <f>IF(Table1[[#This Row],[Discount]]&gt;=15%,"HIGH",IF(Table1[[#This Row],[Discount]]&gt;=55,"MEDIUM","NONE"))</f>
        <v>NONE</v>
      </c>
      <c r="R258" s="9">
        <f>Table1[[#This Row],[Ship Date]]-Table1[[#This Row],[Order Date]]</f>
        <v>0</v>
      </c>
      <c r="S258" s="9">
        <f>VLOOKUP(Table1[[#This Row],[Region]],Table2[],2,FALSE)</f>
        <v>130000</v>
      </c>
      <c r="T258" s="9">
        <f>INDEX(Table2[Quarterly Target],MATCH(Table1[[#This Row],[Region]],Table2[[Region ]],0))</f>
        <v>130000</v>
      </c>
      <c r="U258" s="9">
        <f>RANK(Table1[[#This Row],[Sales]],Table1[Sales])</f>
        <v>172</v>
      </c>
      <c r="V258" s="21">
        <f>SUM(N$2:N259)</f>
        <v>783497.78550000023</v>
      </c>
    </row>
    <row r="259" spans="1:22" x14ac:dyDescent="0.25">
      <c r="A259" s="5" t="s">
        <v>643</v>
      </c>
      <c r="B259" s="6" t="s">
        <v>205</v>
      </c>
      <c r="C259" s="6" t="s">
        <v>644</v>
      </c>
      <c r="D259" s="7" t="s">
        <v>30</v>
      </c>
      <c r="E259" s="7" t="s">
        <v>17</v>
      </c>
      <c r="F259" s="7" t="s">
        <v>38</v>
      </c>
      <c r="G259" s="7" t="s">
        <v>67</v>
      </c>
      <c r="H259" s="7" t="s">
        <v>61</v>
      </c>
      <c r="I259" s="7" t="s">
        <v>72</v>
      </c>
      <c r="J259" s="7">
        <v>4</v>
      </c>
      <c r="K259" s="24">
        <v>74.31</v>
      </c>
      <c r="L259" s="8">
        <v>0</v>
      </c>
      <c r="M259" s="20">
        <v>43.13</v>
      </c>
      <c r="N259" s="21">
        <f>(Table1[[#This Row],[Quantity]]*Table1[[#This Row],[Unit Price]])*(1-Table1[[#This Row],[Discount]])</f>
        <v>297.24</v>
      </c>
      <c r="O259" s="21">
        <f>(Table1[[#This Row],[Unit Price]]-Table1[[#This Row],[Unit Cost]])*Table1[[#This Row],[Quantity]]</f>
        <v>124.72</v>
      </c>
      <c r="P259" s="9" t="str">
        <f t="shared" si="4"/>
        <v>Standard</v>
      </c>
      <c r="Q259" s="9" t="str">
        <f>IF(Table1[[#This Row],[Discount]]&gt;=15%,"HIGH",IF(Table1[[#This Row],[Discount]]&gt;=55,"MEDIUM","NONE"))</f>
        <v>NONE</v>
      </c>
      <c r="R259" s="9">
        <f>Table1[[#This Row],[Ship Date]]-Table1[[#This Row],[Order Date]]</f>
        <v>2</v>
      </c>
      <c r="S259" s="9">
        <f>VLOOKUP(Table1[[#This Row],[Region]],Table2[],2,FALSE)</f>
        <v>120000</v>
      </c>
      <c r="T259" s="9">
        <f>INDEX(Table2[Quarterly Target],MATCH(Table1[[#This Row],[Region]],Table2[[Region ]],0))</f>
        <v>120000</v>
      </c>
      <c r="U259" s="9">
        <f>RANK(Table1[[#This Row],[Sales]],Table1[Sales])</f>
        <v>277</v>
      </c>
      <c r="V259" s="21">
        <f>SUM(N$2:N260)</f>
        <v>784295.68550000025</v>
      </c>
    </row>
    <row r="260" spans="1:22" x14ac:dyDescent="0.25">
      <c r="A260" s="5" t="s">
        <v>645</v>
      </c>
      <c r="B260" s="6" t="s">
        <v>646</v>
      </c>
      <c r="C260" s="6" t="s">
        <v>125</v>
      </c>
      <c r="D260" s="7" t="s">
        <v>16</v>
      </c>
      <c r="E260" s="7" t="s">
        <v>49</v>
      </c>
      <c r="F260" s="7" t="s">
        <v>18</v>
      </c>
      <c r="G260" s="7" t="s">
        <v>44</v>
      </c>
      <c r="H260" s="7" t="s">
        <v>45</v>
      </c>
      <c r="I260" s="7" t="s">
        <v>143</v>
      </c>
      <c r="J260" s="7">
        <v>1</v>
      </c>
      <c r="K260" s="24">
        <v>797.9</v>
      </c>
      <c r="L260" s="8">
        <v>0</v>
      </c>
      <c r="M260" s="20">
        <v>618.87</v>
      </c>
      <c r="N260" s="21">
        <f>(Table1[[#This Row],[Quantity]]*Table1[[#This Row],[Unit Price]])*(1-Table1[[#This Row],[Discount]])</f>
        <v>797.9</v>
      </c>
      <c r="O260" s="21">
        <f>(Table1[[#This Row],[Unit Price]]-Table1[[#This Row],[Unit Cost]])*Table1[[#This Row],[Quantity]]</f>
        <v>179.02999999999997</v>
      </c>
      <c r="P260" s="9" t="str">
        <f t="shared" si="4"/>
        <v>Standard</v>
      </c>
      <c r="Q260" s="9" t="str">
        <f>IF(Table1[[#This Row],[Discount]]&gt;=15%,"HIGH",IF(Table1[[#This Row],[Discount]]&gt;=55,"MEDIUM","NONE"))</f>
        <v>NONE</v>
      </c>
      <c r="R260" s="9">
        <f>Table1[[#This Row],[Ship Date]]-Table1[[#This Row],[Order Date]]</f>
        <v>7</v>
      </c>
      <c r="S260" s="9">
        <f>VLOOKUP(Table1[[#This Row],[Region]],Table2[],2,FALSE)</f>
        <v>140000</v>
      </c>
      <c r="T260" s="9">
        <f>INDEX(Table2[Quarterly Target],MATCH(Table1[[#This Row],[Region]],Table2[[Region ]],0))</f>
        <v>140000</v>
      </c>
      <c r="U260" s="9">
        <f>RANK(Table1[[#This Row],[Sales]],Table1[Sales])</f>
        <v>188</v>
      </c>
      <c r="V260" s="21">
        <f>SUM(N$2:N261)</f>
        <v>784593.81450000021</v>
      </c>
    </row>
    <row r="261" spans="1:22" x14ac:dyDescent="0.25">
      <c r="A261" s="5" t="s">
        <v>647</v>
      </c>
      <c r="B261" s="6" t="s">
        <v>648</v>
      </c>
      <c r="C261" s="6" t="s">
        <v>281</v>
      </c>
      <c r="D261" s="7" t="s">
        <v>16</v>
      </c>
      <c r="E261" s="7" t="s">
        <v>75</v>
      </c>
      <c r="F261" s="7" t="s">
        <v>43</v>
      </c>
      <c r="G261" s="7" t="s">
        <v>26</v>
      </c>
      <c r="H261" s="7" t="s">
        <v>33</v>
      </c>
      <c r="I261" s="7" t="s">
        <v>34</v>
      </c>
      <c r="J261" s="7">
        <v>19</v>
      </c>
      <c r="K261" s="24">
        <v>18.46</v>
      </c>
      <c r="L261" s="8">
        <v>0.15</v>
      </c>
      <c r="M261" s="20">
        <v>11.98</v>
      </c>
      <c r="N261" s="21">
        <f>(Table1[[#This Row],[Quantity]]*Table1[[#This Row],[Unit Price]])*(1-Table1[[#This Row],[Discount]])</f>
        <v>298.12900000000002</v>
      </c>
      <c r="O261" s="21">
        <f>(Table1[[#This Row],[Unit Price]]-Table1[[#This Row],[Unit Cost]])*Table1[[#This Row],[Quantity]]</f>
        <v>123.12</v>
      </c>
      <c r="P261" s="9" t="str">
        <f t="shared" si="4"/>
        <v>Standard</v>
      </c>
      <c r="Q261" s="9" t="str">
        <f>IF(Table1[[#This Row],[Discount]]&gt;=15%,"HIGH",IF(Table1[[#This Row],[Discount]]&gt;=55,"MEDIUM","NONE"))</f>
        <v>HIGH</v>
      </c>
      <c r="R261" s="9">
        <f>Table1[[#This Row],[Ship Date]]-Table1[[#This Row],[Order Date]]</f>
        <v>4</v>
      </c>
      <c r="S261" s="9">
        <f>VLOOKUP(Table1[[#This Row],[Region]],Table2[],2,FALSE)</f>
        <v>150000</v>
      </c>
      <c r="T261" s="9">
        <f>INDEX(Table2[Quarterly Target],MATCH(Table1[[#This Row],[Region]],Table2[[Region ]],0))</f>
        <v>150000</v>
      </c>
      <c r="U261" s="9">
        <f>RANK(Table1[[#This Row],[Sales]],Table1[Sales])</f>
        <v>276</v>
      </c>
      <c r="V261" s="21">
        <f>SUM(N$2:N262)</f>
        <v>785004.93450000021</v>
      </c>
    </row>
    <row r="262" spans="1:22" x14ac:dyDescent="0.25">
      <c r="A262" s="5" t="s">
        <v>649</v>
      </c>
      <c r="B262" s="6" t="s">
        <v>650</v>
      </c>
      <c r="C262" s="6" t="s">
        <v>651</v>
      </c>
      <c r="D262" s="7" t="s">
        <v>30</v>
      </c>
      <c r="E262" s="7" t="s">
        <v>87</v>
      </c>
      <c r="F262" s="7" t="s">
        <v>18</v>
      </c>
      <c r="G262" s="7" t="s">
        <v>50</v>
      </c>
      <c r="H262" s="7" t="s">
        <v>61</v>
      </c>
      <c r="I262" s="7" t="s">
        <v>88</v>
      </c>
      <c r="J262" s="7">
        <v>9</v>
      </c>
      <c r="K262" s="24">
        <v>45.68</v>
      </c>
      <c r="L262" s="8">
        <v>0</v>
      </c>
      <c r="M262" s="20">
        <v>25.52</v>
      </c>
      <c r="N262" s="21">
        <f>(Table1[[#This Row],[Quantity]]*Table1[[#This Row],[Unit Price]])*(1-Table1[[#This Row],[Discount]])</f>
        <v>411.12</v>
      </c>
      <c r="O262" s="21">
        <f>(Table1[[#This Row],[Unit Price]]-Table1[[#This Row],[Unit Cost]])*Table1[[#This Row],[Quantity]]</f>
        <v>181.44</v>
      </c>
      <c r="P262" s="9" t="str">
        <f t="shared" si="4"/>
        <v>Bulk</v>
      </c>
      <c r="Q262" s="9" t="str">
        <f>IF(Table1[[#This Row],[Discount]]&gt;=15%,"HIGH",IF(Table1[[#This Row],[Discount]]&gt;=55,"MEDIUM","NONE"))</f>
        <v>NONE</v>
      </c>
      <c r="R262" s="9">
        <f>Table1[[#This Row],[Ship Date]]-Table1[[#This Row],[Order Date]]</f>
        <v>3</v>
      </c>
      <c r="S262" s="9">
        <f>VLOOKUP(Table1[[#This Row],[Region]],Table2[],2,FALSE)</f>
        <v>140000</v>
      </c>
      <c r="T262" s="9">
        <f>INDEX(Table2[Quarterly Target],MATCH(Table1[[#This Row],[Region]],Table2[[Region ]],0))</f>
        <v>140000</v>
      </c>
      <c r="U262" s="9">
        <f>RANK(Table1[[#This Row],[Sales]],Table1[Sales])</f>
        <v>242</v>
      </c>
      <c r="V262" s="21">
        <f>SUM(N$2:N263)</f>
        <v>785277.6745000002</v>
      </c>
    </row>
    <row r="263" spans="1:22" x14ac:dyDescent="0.25">
      <c r="A263" s="5" t="s">
        <v>652</v>
      </c>
      <c r="B263" s="6" t="s">
        <v>653</v>
      </c>
      <c r="C263" s="6" t="s">
        <v>654</v>
      </c>
      <c r="D263" s="7" t="s">
        <v>30</v>
      </c>
      <c r="E263" s="7" t="s">
        <v>133</v>
      </c>
      <c r="F263" s="7" t="s">
        <v>60</v>
      </c>
      <c r="G263" s="7" t="s">
        <v>67</v>
      </c>
      <c r="H263" s="7" t="s">
        <v>61</v>
      </c>
      <c r="I263" s="7" t="s">
        <v>72</v>
      </c>
      <c r="J263" s="7">
        <v>13</v>
      </c>
      <c r="K263" s="24">
        <v>20.98</v>
      </c>
      <c r="L263" s="8">
        <v>0</v>
      </c>
      <c r="M263" s="20">
        <v>14.91</v>
      </c>
      <c r="N263" s="21">
        <f>(Table1[[#This Row],[Quantity]]*Table1[[#This Row],[Unit Price]])*(1-Table1[[#This Row],[Discount]])</f>
        <v>272.74</v>
      </c>
      <c r="O263" s="21">
        <f>(Table1[[#This Row],[Unit Price]]-Table1[[#This Row],[Unit Cost]])*Table1[[#This Row],[Quantity]]</f>
        <v>78.91</v>
      </c>
      <c r="P263" s="9" t="str">
        <f t="shared" si="4"/>
        <v>Standard</v>
      </c>
      <c r="Q263" s="9" t="str">
        <f>IF(Table1[[#This Row],[Discount]]&gt;=15%,"HIGH",IF(Table1[[#This Row],[Discount]]&gt;=55,"MEDIUM","NONE"))</f>
        <v>NONE</v>
      </c>
      <c r="R263" s="9">
        <f>Table1[[#This Row],[Ship Date]]-Table1[[#This Row],[Order Date]]</f>
        <v>2</v>
      </c>
      <c r="S263" s="9">
        <f>VLOOKUP(Table1[[#This Row],[Region]],Table2[],2,FALSE)</f>
        <v>160000</v>
      </c>
      <c r="T263" s="9">
        <f>INDEX(Table2[Quarterly Target],MATCH(Table1[[#This Row],[Region]],Table2[[Region ]],0))</f>
        <v>160000</v>
      </c>
      <c r="U263" s="9">
        <f>RANK(Table1[[#This Row],[Sales]],Table1[Sales])</f>
        <v>285</v>
      </c>
      <c r="V263" s="21">
        <f>SUM(N$2:N264)</f>
        <v>785519.41450000019</v>
      </c>
    </row>
    <row r="264" spans="1:22" x14ac:dyDescent="0.25">
      <c r="A264" s="5" t="s">
        <v>655</v>
      </c>
      <c r="B264" s="6" t="s">
        <v>479</v>
      </c>
      <c r="C264" s="6" t="s">
        <v>479</v>
      </c>
      <c r="D264" s="7" t="s">
        <v>24</v>
      </c>
      <c r="E264" s="7" t="s">
        <v>66</v>
      </c>
      <c r="F264" s="7" t="s">
        <v>38</v>
      </c>
      <c r="G264" s="7" t="s">
        <v>32</v>
      </c>
      <c r="H264" s="7" t="s">
        <v>33</v>
      </c>
      <c r="I264" s="7" t="s">
        <v>76</v>
      </c>
      <c r="J264" s="7">
        <v>17</v>
      </c>
      <c r="K264" s="24">
        <v>14.22</v>
      </c>
      <c r="L264" s="8">
        <v>0</v>
      </c>
      <c r="M264" s="20">
        <v>8.4600000000000009</v>
      </c>
      <c r="N264" s="21">
        <f>(Table1[[#This Row],[Quantity]]*Table1[[#This Row],[Unit Price]])*(1-Table1[[#This Row],[Discount]])</f>
        <v>241.74</v>
      </c>
      <c r="O264" s="21">
        <f>(Table1[[#This Row],[Unit Price]]-Table1[[#This Row],[Unit Cost]])*Table1[[#This Row],[Quantity]]</f>
        <v>97.92</v>
      </c>
      <c r="P264" s="9" t="str">
        <f t="shared" si="4"/>
        <v>Bulk</v>
      </c>
      <c r="Q264" s="9" t="str">
        <f>IF(Table1[[#This Row],[Discount]]&gt;=15%,"HIGH",IF(Table1[[#This Row],[Discount]]&gt;=55,"MEDIUM","NONE"))</f>
        <v>NONE</v>
      </c>
      <c r="R264" s="9">
        <f>Table1[[#This Row],[Ship Date]]-Table1[[#This Row],[Order Date]]</f>
        <v>0</v>
      </c>
      <c r="S264" s="9">
        <f>VLOOKUP(Table1[[#This Row],[Region]],Table2[],2,FALSE)</f>
        <v>120000</v>
      </c>
      <c r="T264" s="9">
        <f>INDEX(Table2[Quarterly Target],MATCH(Table1[[#This Row],[Region]],Table2[[Region ]],0))</f>
        <v>120000</v>
      </c>
      <c r="U264" s="9">
        <f>RANK(Table1[[#This Row],[Sales]],Table1[Sales])</f>
        <v>293</v>
      </c>
      <c r="V264" s="21">
        <f>SUM(N$2:N265)</f>
        <v>785831.49450000015</v>
      </c>
    </row>
    <row r="265" spans="1:22" x14ac:dyDescent="0.25">
      <c r="A265" s="5" t="s">
        <v>656</v>
      </c>
      <c r="B265" s="6" t="s">
        <v>525</v>
      </c>
      <c r="C265" s="6" t="s">
        <v>525</v>
      </c>
      <c r="D265" s="7" t="s">
        <v>24</v>
      </c>
      <c r="E265" s="7" t="s">
        <v>71</v>
      </c>
      <c r="F265" s="7" t="s">
        <v>60</v>
      </c>
      <c r="G265" s="7" t="s">
        <v>32</v>
      </c>
      <c r="H265" s="7" t="s">
        <v>33</v>
      </c>
      <c r="I265" s="7" t="s">
        <v>34</v>
      </c>
      <c r="J265" s="7">
        <v>8</v>
      </c>
      <c r="K265" s="24">
        <v>39.01</v>
      </c>
      <c r="L265" s="8">
        <v>0</v>
      </c>
      <c r="M265" s="20">
        <v>23.87</v>
      </c>
      <c r="N265" s="21">
        <f>(Table1[[#This Row],[Quantity]]*Table1[[#This Row],[Unit Price]])*(1-Table1[[#This Row],[Discount]])</f>
        <v>312.08</v>
      </c>
      <c r="O265" s="21">
        <f>(Table1[[#This Row],[Unit Price]]-Table1[[#This Row],[Unit Cost]])*Table1[[#This Row],[Quantity]]</f>
        <v>121.11999999999998</v>
      </c>
      <c r="P265" s="9" t="str">
        <f t="shared" si="4"/>
        <v>Bulk</v>
      </c>
      <c r="Q265" s="9" t="str">
        <f>IF(Table1[[#This Row],[Discount]]&gt;=15%,"HIGH",IF(Table1[[#This Row],[Discount]]&gt;=55,"MEDIUM","NONE"))</f>
        <v>NONE</v>
      </c>
      <c r="R265" s="9">
        <f>Table1[[#This Row],[Ship Date]]-Table1[[#This Row],[Order Date]]</f>
        <v>0</v>
      </c>
      <c r="S265" s="9">
        <f>VLOOKUP(Table1[[#This Row],[Region]],Table2[],2,FALSE)</f>
        <v>160000</v>
      </c>
      <c r="T265" s="9">
        <f>INDEX(Table2[Quarterly Target],MATCH(Table1[[#This Row],[Region]],Table2[[Region ]],0))</f>
        <v>160000</v>
      </c>
      <c r="U265" s="9">
        <f>RANK(Table1[[#This Row],[Sales]],Table1[Sales])</f>
        <v>270</v>
      </c>
      <c r="V265" s="21">
        <f>SUM(N$2:N266)</f>
        <v>787763.6745000002</v>
      </c>
    </row>
    <row r="266" spans="1:22" x14ac:dyDescent="0.25">
      <c r="A266" s="5" t="s">
        <v>657</v>
      </c>
      <c r="B266" s="6" t="s">
        <v>658</v>
      </c>
      <c r="C266" s="6" t="s">
        <v>659</v>
      </c>
      <c r="D266" s="7" t="s">
        <v>16</v>
      </c>
      <c r="E266" s="7" t="s">
        <v>55</v>
      </c>
      <c r="F266" s="7" t="s">
        <v>38</v>
      </c>
      <c r="G266" s="7" t="s">
        <v>32</v>
      </c>
      <c r="H266" s="7" t="s">
        <v>20</v>
      </c>
      <c r="I266" s="7" t="s">
        <v>113</v>
      </c>
      <c r="J266" s="7">
        <v>6</v>
      </c>
      <c r="K266" s="24">
        <v>322.02999999999997</v>
      </c>
      <c r="L266" s="8">
        <v>0</v>
      </c>
      <c r="M266" s="20">
        <v>242.02</v>
      </c>
      <c r="N266" s="21">
        <f>(Table1[[#This Row],[Quantity]]*Table1[[#This Row],[Unit Price]])*(1-Table1[[#This Row],[Discount]])</f>
        <v>1932.1799999999998</v>
      </c>
      <c r="O266" s="21">
        <f>(Table1[[#This Row],[Unit Price]]-Table1[[#This Row],[Unit Cost]])*Table1[[#This Row],[Quantity]]</f>
        <v>480.05999999999977</v>
      </c>
      <c r="P266" s="9" t="str">
        <f t="shared" si="4"/>
        <v>Standard</v>
      </c>
      <c r="Q266" s="9" t="str">
        <f>IF(Table1[[#This Row],[Discount]]&gt;=15%,"HIGH",IF(Table1[[#This Row],[Discount]]&gt;=55,"MEDIUM","NONE"))</f>
        <v>NONE</v>
      </c>
      <c r="R266" s="9">
        <f>Table1[[#This Row],[Ship Date]]-Table1[[#This Row],[Order Date]]</f>
        <v>6</v>
      </c>
      <c r="S266" s="9">
        <f>VLOOKUP(Table1[[#This Row],[Region]],Table2[],2,FALSE)</f>
        <v>120000</v>
      </c>
      <c r="T266" s="9">
        <f>INDEX(Table2[Quarterly Target],MATCH(Table1[[#This Row],[Region]],Table2[[Region ]],0))</f>
        <v>120000</v>
      </c>
      <c r="U266" s="9">
        <f>RANK(Table1[[#This Row],[Sales]],Table1[Sales])</f>
        <v>139</v>
      </c>
      <c r="V266" s="21">
        <f>SUM(N$2:N267)</f>
        <v>787998.62850000022</v>
      </c>
    </row>
    <row r="267" spans="1:22" x14ac:dyDescent="0.25">
      <c r="A267" s="5" t="s">
        <v>660</v>
      </c>
      <c r="B267" s="6" t="s">
        <v>310</v>
      </c>
      <c r="C267" s="6" t="s">
        <v>445</v>
      </c>
      <c r="D267" s="7" t="s">
        <v>30</v>
      </c>
      <c r="E267" s="7" t="s">
        <v>59</v>
      </c>
      <c r="F267" s="7" t="s">
        <v>38</v>
      </c>
      <c r="G267" s="7" t="s">
        <v>19</v>
      </c>
      <c r="H267" s="7" t="s">
        <v>33</v>
      </c>
      <c r="I267" s="7" t="s">
        <v>153</v>
      </c>
      <c r="J267" s="7">
        <v>18</v>
      </c>
      <c r="K267" s="24">
        <v>13.74</v>
      </c>
      <c r="L267" s="8">
        <v>0.05</v>
      </c>
      <c r="M267" s="20">
        <v>7.69</v>
      </c>
      <c r="N267" s="21">
        <f>(Table1[[#This Row],[Quantity]]*Table1[[#This Row],[Unit Price]])*(1-Table1[[#This Row],[Discount]])</f>
        <v>234.95399999999998</v>
      </c>
      <c r="O267" s="21">
        <f>(Table1[[#This Row],[Unit Price]]-Table1[[#This Row],[Unit Cost]])*Table1[[#This Row],[Quantity]]</f>
        <v>108.89999999999999</v>
      </c>
      <c r="P267" s="9" t="str">
        <f t="shared" si="4"/>
        <v>Standard</v>
      </c>
      <c r="Q267" s="9" t="str">
        <f>IF(Table1[[#This Row],[Discount]]&gt;=15%,"HIGH",IF(Table1[[#This Row],[Discount]]&gt;=55,"MEDIUM","NONE"))</f>
        <v>NONE</v>
      </c>
      <c r="R267" s="9">
        <f>Table1[[#This Row],[Ship Date]]-Table1[[#This Row],[Order Date]]</f>
        <v>2</v>
      </c>
      <c r="S267" s="9">
        <f>VLOOKUP(Table1[[#This Row],[Region]],Table2[],2,FALSE)</f>
        <v>120000</v>
      </c>
      <c r="T267" s="9">
        <f>INDEX(Table2[Quarterly Target],MATCH(Table1[[#This Row],[Region]],Table2[[Region ]],0))</f>
        <v>120000</v>
      </c>
      <c r="U267" s="9">
        <f>RANK(Table1[[#This Row],[Sales]],Table1[Sales])</f>
        <v>298</v>
      </c>
      <c r="V267" s="21">
        <f>SUM(N$2:N268)</f>
        <v>792180.2285000002</v>
      </c>
    </row>
    <row r="268" spans="1:22" x14ac:dyDescent="0.25">
      <c r="A268" s="5" t="s">
        <v>661</v>
      </c>
      <c r="B268" s="6" t="s">
        <v>662</v>
      </c>
      <c r="C268" s="6" t="s">
        <v>663</v>
      </c>
      <c r="D268" s="7" t="s">
        <v>30</v>
      </c>
      <c r="E268" s="7" t="s">
        <v>66</v>
      </c>
      <c r="F268" s="7" t="s">
        <v>38</v>
      </c>
      <c r="G268" s="7" t="s">
        <v>26</v>
      </c>
      <c r="H268" s="7" t="s">
        <v>45</v>
      </c>
      <c r="I268" s="7" t="s">
        <v>46</v>
      </c>
      <c r="J268" s="7">
        <v>20</v>
      </c>
      <c r="K268" s="24">
        <v>209.08</v>
      </c>
      <c r="L268" s="8">
        <v>0</v>
      </c>
      <c r="M268" s="20">
        <v>132.81</v>
      </c>
      <c r="N268" s="21">
        <f>(Table1[[#This Row],[Quantity]]*Table1[[#This Row],[Unit Price]])*(1-Table1[[#This Row],[Discount]])</f>
        <v>4181.6000000000004</v>
      </c>
      <c r="O268" s="21">
        <f>(Table1[[#This Row],[Unit Price]]-Table1[[#This Row],[Unit Cost]])*Table1[[#This Row],[Quantity]]</f>
        <v>1525.4</v>
      </c>
      <c r="P268" s="9" t="str">
        <f t="shared" si="4"/>
        <v>Bulk</v>
      </c>
      <c r="Q268" s="9" t="str">
        <f>IF(Table1[[#This Row],[Discount]]&gt;=15%,"HIGH",IF(Table1[[#This Row],[Discount]]&gt;=55,"MEDIUM","NONE"))</f>
        <v>NONE</v>
      </c>
      <c r="R268" s="9">
        <f>Table1[[#This Row],[Ship Date]]-Table1[[#This Row],[Order Date]]</f>
        <v>3</v>
      </c>
      <c r="S268" s="9">
        <f>VLOOKUP(Table1[[#This Row],[Region]],Table2[],2,FALSE)</f>
        <v>120000</v>
      </c>
      <c r="T268" s="9">
        <f>INDEX(Table2[Quarterly Target],MATCH(Table1[[#This Row],[Region]],Table2[[Region ]],0))</f>
        <v>120000</v>
      </c>
      <c r="U268" s="9">
        <f>RANK(Table1[[#This Row],[Sales]],Table1[Sales])</f>
        <v>104</v>
      </c>
      <c r="V268" s="21">
        <f>SUM(N$2:N269)</f>
        <v>806035.90850000025</v>
      </c>
    </row>
    <row r="269" spans="1:22" x14ac:dyDescent="0.25">
      <c r="A269" s="5" t="s">
        <v>664</v>
      </c>
      <c r="B269" s="6" t="s">
        <v>665</v>
      </c>
      <c r="C269" s="6" t="s">
        <v>665</v>
      </c>
      <c r="D269" s="7" t="s">
        <v>24</v>
      </c>
      <c r="E269" s="7" t="s">
        <v>59</v>
      </c>
      <c r="F269" s="7" t="s">
        <v>38</v>
      </c>
      <c r="G269" s="7" t="s">
        <v>67</v>
      </c>
      <c r="H269" s="7" t="s">
        <v>20</v>
      </c>
      <c r="I269" s="7" t="s">
        <v>113</v>
      </c>
      <c r="J269" s="7">
        <v>12</v>
      </c>
      <c r="K269" s="24">
        <v>1154.6400000000001</v>
      </c>
      <c r="L269" s="8">
        <v>0</v>
      </c>
      <c r="M269" s="20">
        <v>838.42</v>
      </c>
      <c r="N269" s="21">
        <f>(Table1[[#This Row],[Quantity]]*Table1[[#This Row],[Unit Price]])*(1-Table1[[#This Row],[Discount]])</f>
        <v>13855.68</v>
      </c>
      <c r="O269" s="21">
        <f>(Table1[[#This Row],[Unit Price]]-Table1[[#This Row],[Unit Cost]])*Table1[[#This Row],[Quantity]]</f>
        <v>3794.6400000000017</v>
      </c>
      <c r="P269" s="9" t="str">
        <f t="shared" si="4"/>
        <v>Bulk</v>
      </c>
      <c r="Q269" s="9" t="str">
        <f>IF(Table1[[#This Row],[Discount]]&gt;=15%,"HIGH",IF(Table1[[#This Row],[Discount]]&gt;=55,"MEDIUM","NONE"))</f>
        <v>NONE</v>
      </c>
      <c r="R269" s="9">
        <f>Table1[[#This Row],[Ship Date]]-Table1[[#This Row],[Order Date]]</f>
        <v>0</v>
      </c>
      <c r="S269" s="9">
        <f>VLOOKUP(Table1[[#This Row],[Region]],Table2[],2,FALSE)</f>
        <v>120000</v>
      </c>
      <c r="T269" s="9">
        <f>INDEX(Table2[Quarterly Target],MATCH(Table1[[#This Row],[Region]],Table2[[Region ]],0))</f>
        <v>120000</v>
      </c>
      <c r="U269" s="9">
        <f>RANK(Table1[[#This Row],[Sales]],Table1[Sales])</f>
        <v>22</v>
      </c>
      <c r="V269" s="21">
        <f>SUM(N$2:N270)</f>
        <v>806462.62850000022</v>
      </c>
    </row>
    <row r="270" spans="1:22" x14ac:dyDescent="0.25">
      <c r="A270" s="5" t="s">
        <v>666</v>
      </c>
      <c r="B270" s="6" t="s">
        <v>552</v>
      </c>
      <c r="C270" s="6" t="s">
        <v>552</v>
      </c>
      <c r="D270" s="7" t="s">
        <v>24</v>
      </c>
      <c r="E270" s="7" t="s">
        <v>78</v>
      </c>
      <c r="F270" s="7" t="s">
        <v>25</v>
      </c>
      <c r="G270" s="7" t="s">
        <v>97</v>
      </c>
      <c r="H270" s="7" t="s">
        <v>33</v>
      </c>
      <c r="I270" s="7" t="s">
        <v>39</v>
      </c>
      <c r="J270" s="7">
        <v>16</v>
      </c>
      <c r="K270" s="24">
        <v>26.67</v>
      </c>
      <c r="L270" s="8">
        <v>0</v>
      </c>
      <c r="M270" s="20">
        <v>19.38</v>
      </c>
      <c r="N270" s="21">
        <f>(Table1[[#This Row],[Quantity]]*Table1[[#This Row],[Unit Price]])*(1-Table1[[#This Row],[Discount]])</f>
        <v>426.72</v>
      </c>
      <c r="O270" s="21">
        <f>(Table1[[#This Row],[Unit Price]]-Table1[[#This Row],[Unit Cost]])*Table1[[#This Row],[Quantity]]</f>
        <v>116.64000000000004</v>
      </c>
      <c r="P270" s="9" t="str">
        <f t="shared" si="4"/>
        <v>Bulk</v>
      </c>
      <c r="Q270" s="9" t="str">
        <f>IF(Table1[[#This Row],[Discount]]&gt;=15%,"HIGH",IF(Table1[[#This Row],[Discount]]&gt;=55,"MEDIUM","NONE"))</f>
        <v>NONE</v>
      </c>
      <c r="R270" s="9">
        <f>Table1[[#This Row],[Ship Date]]-Table1[[#This Row],[Order Date]]</f>
        <v>0</v>
      </c>
      <c r="S270" s="9">
        <f>VLOOKUP(Table1[[#This Row],[Region]],Table2[],2,FALSE)</f>
        <v>130000</v>
      </c>
      <c r="T270" s="9">
        <f>INDEX(Table2[Quarterly Target],MATCH(Table1[[#This Row],[Region]],Table2[[Region ]],0))</f>
        <v>130000</v>
      </c>
      <c r="U270" s="9">
        <f>RANK(Table1[[#This Row],[Sales]],Table1[Sales])</f>
        <v>239</v>
      </c>
      <c r="V270" s="21">
        <f>SUM(N$2:N271)</f>
        <v>807713.76050000021</v>
      </c>
    </row>
    <row r="271" spans="1:22" x14ac:dyDescent="0.25">
      <c r="A271" s="5" t="s">
        <v>667</v>
      </c>
      <c r="B271" s="6" t="s">
        <v>668</v>
      </c>
      <c r="C271" s="6" t="s">
        <v>293</v>
      </c>
      <c r="D271" s="7" t="s">
        <v>16</v>
      </c>
      <c r="E271" s="7" t="s">
        <v>214</v>
      </c>
      <c r="F271" s="7" t="s">
        <v>18</v>
      </c>
      <c r="G271" s="7" t="s">
        <v>50</v>
      </c>
      <c r="H271" s="7" t="s">
        <v>45</v>
      </c>
      <c r="I271" s="7" t="s">
        <v>143</v>
      </c>
      <c r="J271" s="7">
        <v>24</v>
      </c>
      <c r="K271" s="24">
        <v>61.33</v>
      </c>
      <c r="L271" s="8">
        <v>0.15</v>
      </c>
      <c r="M271" s="20">
        <v>48.28</v>
      </c>
      <c r="N271" s="21">
        <f>(Table1[[#This Row],[Quantity]]*Table1[[#This Row],[Unit Price]])*(1-Table1[[#This Row],[Discount]])</f>
        <v>1251.1320000000001</v>
      </c>
      <c r="O271" s="21">
        <f>(Table1[[#This Row],[Unit Price]]-Table1[[#This Row],[Unit Cost]])*Table1[[#This Row],[Quantity]]</f>
        <v>313.19999999999993</v>
      </c>
      <c r="P271" s="9" t="str">
        <f t="shared" si="4"/>
        <v>Bulk</v>
      </c>
      <c r="Q271" s="9" t="str">
        <f>IF(Table1[[#This Row],[Discount]]&gt;=15%,"HIGH",IF(Table1[[#This Row],[Discount]]&gt;=55,"MEDIUM","NONE"))</f>
        <v>HIGH</v>
      </c>
      <c r="R271" s="9">
        <f>Table1[[#This Row],[Ship Date]]-Table1[[#This Row],[Order Date]]</f>
        <v>7</v>
      </c>
      <c r="S271" s="9">
        <f>VLOOKUP(Table1[[#This Row],[Region]],Table2[],2,FALSE)</f>
        <v>140000</v>
      </c>
      <c r="T271" s="9">
        <f>INDEX(Table2[Quarterly Target],MATCH(Table1[[#This Row],[Region]],Table2[[Region ]],0))</f>
        <v>140000</v>
      </c>
      <c r="U271" s="9">
        <f>RANK(Table1[[#This Row],[Sales]],Table1[Sales])</f>
        <v>164</v>
      </c>
      <c r="V271" s="21">
        <f>SUM(N$2:N272)</f>
        <v>807786.66050000023</v>
      </c>
    </row>
    <row r="272" spans="1:22" x14ac:dyDescent="0.25">
      <c r="A272" s="5" t="s">
        <v>669</v>
      </c>
      <c r="B272" s="6" t="s">
        <v>670</v>
      </c>
      <c r="C272" s="6" t="s">
        <v>237</v>
      </c>
      <c r="D272" s="7" t="s">
        <v>30</v>
      </c>
      <c r="E272" s="7" t="s">
        <v>109</v>
      </c>
      <c r="F272" s="7" t="s">
        <v>25</v>
      </c>
      <c r="G272" s="7" t="s">
        <v>67</v>
      </c>
      <c r="H272" s="7" t="s">
        <v>33</v>
      </c>
      <c r="I272" s="7" t="s">
        <v>153</v>
      </c>
      <c r="J272" s="7">
        <v>5</v>
      </c>
      <c r="K272" s="24">
        <v>14.58</v>
      </c>
      <c r="L272" s="8">
        <v>0</v>
      </c>
      <c r="M272" s="20">
        <v>8.89</v>
      </c>
      <c r="N272" s="21">
        <f>(Table1[[#This Row],[Quantity]]*Table1[[#This Row],[Unit Price]])*(1-Table1[[#This Row],[Discount]])</f>
        <v>72.900000000000006</v>
      </c>
      <c r="O272" s="21">
        <f>(Table1[[#This Row],[Unit Price]]-Table1[[#This Row],[Unit Cost]])*Table1[[#This Row],[Quantity]]</f>
        <v>28.449999999999996</v>
      </c>
      <c r="P272" s="9" t="str">
        <f t="shared" si="4"/>
        <v>Bulk</v>
      </c>
      <c r="Q272" s="9" t="str">
        <f>IF(Table1[[#This Row],[Discount]]&gt;=15%,"HIGH",IF(Table1[[#This Row],[Discount]]&gt;=55,"MEDIUM","NONE"))</f>
        <v>NONE</v>
      </c>
      <c r="R272" s="9">
        <f>Table1[[#This Row],[Ship Date]]-Table1[[#This Row],[Order Date]]</f>
        <v>2</v>
      </c>
      <c r="S272" s="9">
        <f>VLOOKUP(Table1[[#This Row],[Region]],Table2[],2,FALSE)</f>
        <v>130000</v>
      </c>
      <c r="T272" s="9">
        <f>INDEX(Table2[Quarterly Target],MATCH(Table1[[#This Row],[Region]],Table2[[Region ]],0))</f>
        <v>130000</v>
      </c>
      <c r="U272" s="9">
        <f>RANK(Table1[[#This Row],[Sales]],Table1[Sales])</f>
        <v>370</v>
      </c>
      <c r="V272" s="21">
        <f>SUM(N$2:N273)</f>
        <v>810145.45050000027</v>
      </c>
    </row>
    <row r="273" spans="1:22" x14ac:dyDescent="0.25">
      <c r="A273" s="5" t="s">
        <v>671</v>
      </c>
      <c r="B273" s="6" t="s">
        <v>589</v>
      </c>
      <c r="C273" s="6" t="s">
        <v>672</v>
      </c>
      <c r="D273" s="7" t="s">
        <v>30</v>
      </c>
      <c r="E273" s="7" t="s">
        <v>75</v>
      </c>
      <c r="F273" s="7" t="s">
        <v>18</v>
      </c>
      <c r="G273" s="7" t="s">
        <v>26</v>
      </c>
      <c r="H273" s="7" t="s">
        <v>20</v>
      </c>
      <c r="I273" s="7" t="s">
        <v>151</v>
      </c>
      <c r="J273" s="7">
        <v>7</v>
      </c>
      <c r="K273" s="24">
        <v>336.97</v>
      </c>
      <c r="L273" s="8">
        <v>0</v>
      </c>
      <c r="M273" s="20">
        <v>214.86</v>
      </c>
      <c r="N273" s="21">
        <f>(Table1[[#This Row],[Quantity]]*Table1[[#This Row],[Unit Price]])*(1-Table1[[#This Row],[Discount]])</f>
        <v>2358.79</v>
      </c>
      <c r="O273" s="21">
        <f>(Table1[[#This Row],[Unit Price]]-Table1[[#This Row],[Unit Cost]])*Table1[[#This Row],[Quantity]]</f>
        <v>854.7700000000001</v>
      </c>
      <c r="P273" s="9" t="str">
        <f t="shared" si="4"/>
        <v>Standard</v>
      </c>
      <c r="Q273" s="9" t="str">
        <f>IF(Table1[[#This Row],[Discount]]&gt;=15%,"HIGH",IF(Table1[[#This Row],[Discount]]&gt;=55,"MEDIUM","NONE"))</f>
        <v>NONE</v>
      </c>
      <c r="R273" s="9">
        <f>Table1[[#This Row],[Ship Date]]-Table1[[#This Row],[Order Date]]</f>
        <v>2</v>
      </c>
      <c r="S273" s="9">
        <f>VLOOKUP(Table1[[#This Row],[Region]],Table2[],2,FALSE)</f>
        <v>140000</v>
      </c>
      <c r="T273" s="9">
        <f>INDEX(Table2[Quarterly Target],MATCH(Table1[[#This Row],[Region]],Table2[[Region ]],0))</f>
        <v>140000</v>
      </c>
      <c r="U273" s="9">
        <f>RANK(Table1[[#This Row],[Sales]],Table1[Sales])</f>
        <v>130</v>
      </c>
      <c r="V273" s="21">
        <f>SUM(N$2:N274)</f>
        <v>810615.9855000003</v>
      </c>
    </row>
    <row r="274" spans="1:22" x14ac:dyDescent="0.25">
      <c r="A274" s="5" t="s">
        <v>673</v>
      </c>
      <c r="B274" s="6" t="s">
        <v>674</v>
      </c>
      <c r="C274" s="6" t="s">
        <v>487</v>
      </c>
      <c r="D274" s="7" t="s">
        <v>30</v>
      </c>
      <c r="E274" s="7" t="s">
        <v>78</v>
      </c>
      <c r="F274" s="7" t="s">
        <v>60</v>
      </c>
      <c r="G274" s="7" t="s">
        <v>97</v>
      </c>
      <c r="H274" s="7" t="s">
        <v>61</v>
      </c>
      <c r="I274" s="7" t="s">
        <v>62</v>
      </c>
      <c r="J274" s="7">
        <v>13</v>
      </c>
      <c r="K274" s="24">
        <v>38.1</v>
      </c>
      <c r="L274" s="8">
        <v>0.05</v>
      </c>
      <c r="M274" s="20">
        <v>21.92</v>
      </c>
      <c r="N274" s="21">
        <f>(Table1[[#This Row],[Quantity]]*Table1[[#This Row],[Unit Price]])*(1-Table1[[#This Row],[Discount]])</f>
        <v>470.53499999999997</v>
      </c>
      <c r="O274" s="21">
        <f>(Table1[[#This Row],[Unit Price]]-Table1[[#This Row],[Unit Cost]])*Table1[[#This Row],[Quantity]]</f>
        <v>210.34</v>
      </c>
      <c r="P274" s="9" t="str">
        <f t="shared" si="4"/>
        <v>Standard</v>
      </c>
      <c r="Q274" s="9" t="str">
        <f>IF(Table1[[#This Row],[Discount]]&gt;=15%,"HIGH",IF(Table1[[#This Row],[Discount]]&gt;=55,"MEDIUM","NONE"))</f>
        <v>NONE</v>
      </c>
      <c r="R274" s="9">
        <f>Table1[[#This Row],[Ship Date]]-Table1[[#This Row],[Order Date]]</f>
        <v>2</v>
      </c>
      <c r="S274" s="9">
        <f>VLOOKUP(Table1[[#This Row],[Region]],Table2[],2,FALSE)</f>
        <v>160000</v>
      </c>
      <c r="T274" s="9">
        <f>INDEX(Table2[Quarterly Target],MATCH(Table1[[#This Row],[Region]],Table2[[Region ]],0))</f>
        <v>160000</v>
      </c>
      <c r="U274" s="9">
        <f>RANK(Table1[[#This Row],[Sales]],Table1[Sales])</f>
        <v>231</v>
      </c>
      <c r="V274" s="21">
        <f>SUM(N$2:N275)</f>
        <v>811391.15550000034</v>
      </c>
    </row>
    <row r="275" spans="1:22" x14ac:dyDescent="0.25">
      <c r="A275" s="5" t="s">
        <v>675</v>
      </c>
      <c r="B275" s="6" t="s">
        <v>676</v>
      </c>
      <c r="C275" s="6" t="s">
        <v>104</v>
      </c>
      <c r="D275" s="7" t="s">
        <v>30</v>
      </c>
      <c r="E275" s="7" t="s">
        <v>214</v>
      </c>
      <c r="F275" s="7" t="s">
        <v>43</v>
      </c>
      <c r="G275" s="7" t="s">
        <v>26</v>
      </c>
      <c r="H275" s="7" t="s">
        <v>61</v>
      </c>
      <c r="I275" s="7" t="s">
        <v>106</v>
      </c>
      <c r="J275" s="7">
        <v>9</v>
      </c>
      <c r="K275" s="24">
        <v>86.13</v>
      </c>
      <c r="L275" s="8">
        <v>0</v>
      </c>
      <c r="M275" s="20">
        <v>54.73</v>
      </c>
      <c r="N275" s="21">
        <f>(Table1[[#This Row],[Quantity]]*Table1[[#This Row],[Unit Price]])*(1-Table1[[#This Row],[Discount]])</f>
        <v>775.17</v>
      </c>
      <c r="O275" s="21">
        <f>(Table1[[#This Row],[Unit Price]]-Table1[[#This Row],[Unit Cost]])*Table1[[#This Row],[Quantity]]</f>
        <v>282.59999999999997</v>
      </c>
      <c r="P275" s="9" t="str">
        <f t="shared" si="4"/>
        <v>Bulk</v>
      </c>
      <c r="Q275" s="9" t="str">
        <f>IF(Table1[[#This Row],[Discount]]&gt;=15%,"HIGH",IF(Table1[[#This Row],[Discount]]&gt;=55,"MEDIUM","NONE"))</f>
        <v>NONE</v>
      </c>
      <c r="R275" s="9">
        <f>Table1[[#This Row],[Ship Date]]-Table1[[#This Row],[Order Date]]</f>
        <v>2</v>
      </c>
      <c r="S275" s="9">
        <f>VLOOKUP(Table1[[#This Row],[Region]],Table2[],2,FALSE)</f>
        <v>150000</v>
      </c>
      <c r="T275" s="9">
        <f>INDEX(Table2[Quarterly Target],MATCH(Table1[[#This Row],[Region]],Table2[[Region ]],0))</f>
        <v>150000</v>
      </c>
      <c r="U275" s="9">
        <f>RANK(Table1[[#This Row],[Sales]],Table1[Sales])</f>
        <v>191</v>
      </c>
      <c r="V275" s="21">
        <f>SUM(N$2:N276)</f>
        <v>811855.27250000031</v>
      </c>
    </row>
    <row r="276" spans="1:22" x14ac:dyDescent="0.25">
      <c r="A276" s="5" t="s">
        <v>677</v>
      </c>
      <c r="B276" s="6" t="s">
        <v>638</v>
      </c>
      <c r="C276" s="6" t="s">
        <v>638</v>
      </c>
      <c r="D276" s="7" t="s">
        <v>24</v>
      </c>
      <c r="E276" s="7" t="s">
        <v>112</v>
      </c>
      <c r="F276" s="7" t="s">
        <v>38</v>
      </c>
      <c r="G276" s="7" t="s">
        <v>82</v>
      </c>
      <c r="H276" s="7" t="s">
        <v>20</v>
      </c>
      <c r="I276" s="7" t="s">
        <v>134</v>
      </c>
      <c r="J276" s="7">
        <v>1</v>
      </c>
      <c r="K276" s="24">
        <v>546.02</v>
      </c>
      <c r="L276" s="8">
        <v>0.15</v>
      </c>
      <c r="M276" s="20">
        <v>322.83</v>
      </c>
      <c r="N276" s="21">
        <f>(Table1[[#This Row],[Quantity]]*Table1[[#This Row],[Unit Price]])*(1-Table1[[#This Row],[Discount]])</f>
        <v>464.11699999999996</v>
      </c>
      <c r="O276" s="21">
        <f>(Table1[[#This Row],[Unit Price]]-Table1[[#This Row],[Unit Cost]])*Table1[[#This Row],[Quantity]]</f>
        <v>223.19</v>
      </c>
      <c r="P276" s="9" t="str">
        <f t="shared" si="4"/>
        <v>Standard</v>
      </c>
      <c r="Q276" s="9" t="str">
        <f>IF(Table1[[#This Row],[Discount]]&gt;=15%,"HIGH",IF(Table1[[#This Row],[Discount]]&gt;=55,"MEDIUM","NONE"))</f>
        <v>HIGH</v>
      </c>
      <c r="R276" s="9">
        <f>Table1[[#This Row],[Ship Date]]-Table1[[#This Row],[Order Date]]</f>
        <v>0</v>
      </c>
      <c r="S276" s="9">
        <f>VLOOKUP(Table1[[#This Row],[Region]],Table2[],2,FALSE)</f>
        <v>120000</v>
      </c>
      <c r="T276" s="9">
        <f>INDEX(Table2[Quarterly Target],MATCH(Table1[[#This Row],[Region]],Table2[[Region ]],0))</f>
        <v>120000</v>
      </c>
      <c r="U276" s="9">
        <f>RANK(Table1[[#This Row],[Sales]],Table1[Sales])</f>
        <v>232</v>
      </c>
      <c r="V276" s="21">
        <f>SUM(N$2:N277)</f>
        <v>825324.47450000036</v>
      </c>
    </row>
    <row r="277" spans="1:22" x14ac:dyDescent="0.25">
      <c r="A277" s="5" t="s">
        <v>678</v>
      </c>
      <c r="B277" s="6" t="s">
        <v>679</v>
      </c>
      <c r="C277" s="6" t="s">
        <v>679</v>
      </c>
      <c r="D277" s="7" t="s">
        <v>24</v>
      </c>
      <c r="E277" s="7" t="s">
        <v>87</v>
      </c>
      <c r="F277" s="7" t="s">
        <v>25</v>
      </c>
      <c r="G277" s="7" t="s">
        <v>97</v>
      </c>
      <c r="H277" s="7" t="s">
        <v>20</v>
      </c>
      <c r="I277" s="7" t="s">
        <v>134</v>
      </c>
      <c r="J277" s="7">
        <v>18</v>
      </c>
      <c r="K277" s="24">
        <v>880.34</v>
      </c>
      <c r="L277" s="8">
        <v>0.15</v>
      </c>
      <c r="M277" s="20">
        <v>603.05999999999995</v>
      </c>
      <c r="N277" s="21">
        <f>(Table1[[#This Row],[Quantity]]*Table1[[#This Row],[Unit Price]])*(1-Table1[[#This Row],[Discount]])</f>
        <v>13469.202000000001</v>
      </c>
      <c r="O277" s="21">
        <f>(Table1[[#This Row],[Unit Price]]-Table1[[#This Row],[Unit Cost]])*Table1[[#This Row],[Quantity]]</f>
        <v>4991.0400000000018</v>
      </c>
      <c r="P277" s="9" t="str">
        <f t="shared" si="4"/>
        <v>Standard</v>
      </c>
      <c r="Q277" s="9" t="str">
        <f>IF(Table1[[#This Row],[Discount]]&gt;=15%,"HIGH",IF(Table1[[#This Row],[Discount]]&gt;=55,"MEDIUM","NONE"))</f>
        <v>HIGH</v>
      </c>
      <c r="R277" s="9">
        <f>Table1[[#This Row],[Ship Date]]-Table1[[#This Row],[Order Date]]</f>
        <v>0</v>
      </c>
      <c r="S277" s="9">
        <f>VLOOKUP(Table1[[#This Row],[Region]],Table2[],2,FALSE)</f>
        <v>130000</v>
      </c>
      <c r="T277" s="9">
        <f>INDEX(Table2[Quarterly Target],MATCH(Table1[[#This Row],[Region]],Table2[[Region ]],0))</f>
        <v>130000</v>
      </c>
      <c r="U277" s="9">
        <f>RANK(Table1[[#This Row],[Sales]],Table1[Sales])</f>
        <v>25</v>
      </c>
      <c r="V277" s="21">
        <f>SUM(N$2:N278)</f>
        <v>826207.87950000039</v>
      </c>
    </row>
    <row r="278" spans="1:22" x14ac:dyDescent="0.25">
      <c r="A278" s="5" t="s">
        <v>680</v>
      </c>
      <c r="B278" s="6" t="s">
        <v>375</v>
      </c>
      <c r="C278" s="6" t="s">
        <v>681</v>
      </c>
      <c r="D278" s="7" t="s">
        <v>16</v>
      </c>
      <c r="E278" s="7" t="s">
        <v>109</v>
      </c>
      <c r="F278" s="7" t="s">
        <v>60</v>
      </c>
      <c r="G278" s="7" t="s">
        <v>82</v>
      </c>
      <c r="H278" s="7" t="s">
        <v>20</v>
      </c>
      <c r="I278" s="7" t="s">
        <v>21</v>
      </c>
      <c r="J278" s="7">
        <v>2</v>
      </c>
      <c r="K278" s="24">
        <v>464.95</v>
      </c>
      <c r="L278" s="8">
        <v>0.05</v>
      </c>
      <c r="M278" s="20">
        <v>265.91000000000003</v>
      </c>
      <c r="N278" s="21">
        <f>(Table1[[#This Row],[Quantity]]*Table1[[#This Row],[Unit Price]])*(1-Table1[[#This Row],[Discount]])</f>
        <v>883.40499999999997</v>
      </c>
      <c r="O278" s="21">
        <f>(Table1[[#This Row],[Unit Price]]-Table1[[#This Row],[Unit Cost]])*Table1[[#This Row],[Quantity]]</f>
        <v>398.07999999999993</v>
      </c>
      <c r="P278" s="9" t="str">
        <f t="shared" si="4"/>
        <v>Bulk</v>
      </c>
      <c r="Q278" s="9" t="str">
        <f>IF(Table1[[#This Row],[Discount]]&gt;=15%,"HIGH",IF(Table1[[#This Row],[Discount]]&gt;=55,"MEDIUM","NONE"))</f>
        <v>NONE</v>
      </c>
      <c r="R278" s="9">
        <f>Table1[[#This Row],[Ship Date]]-Table1[[#This Row],[Order Date]]</f>
        <v>7</v>
      </c>
      <c r="S278" s="9">
        <f>VLOOKUP(Table1[[#This Row],[Region]],Table2[],2,FALSE)</f>
        <v>160000</v>
      </c>
      <c r="T278" s="9">
        <f>INDEX(Table2[Quarterly Target],MATCH(Table1[[#This Row],[Region]],Table2[[Region ]],0))</f>
        <v>160000</v>
      </c>
      <c r="U278" s="9">
        <f>RANK(Table1[[#This Row],[Sales]],Table1[Sales])</f>
        <v>183</v>
      </c>
      <c r="V278" s="21">
        <f>SUM(N$2:N279)</f>
        <v>827745.39750000043</v>
      </c>
    </row>
    <row r="279" spans="1:22" x14ac:dyDescent="0.25">
      <c r="A279" s="5" t="s">
        <v>682</v>
      </c>
      <c r="B279" s="6" t="s">
        <v>36</v>
      </c>
      <c r="C279" s="6" t="s">
        <v>683</v>
      </c>
      <c r="D279" s="7" t="s">
        <v>30</v>
      </c>
      <c r="E279" s="7" t="s">
        <v>214</v>
      </c>
      <c r="F279" s="7" t="s">
        <v>25</v>
      </c>
      <c r="G279" s="7" t="s">
        <v>67</v>
      </c>
      <c r="H279" s="7" t="s">
        <v>20</v>
      </c>
      <c r="I279" s="7" t="s">
        <v>113</v>
      </c>
      <c r="J279" s="7">
        <v>4</v>
      </c>
      <c r="K279" s="24">
        <v>404.61</v>
      </c>
      <c r="L279" s="8">
        <v>0.05</v>
      </c>
      <c r="M279" s="20">
        <v>270.17</v>
      </c>
      <c r="N279" s="21">
        <f>(Table1[[#This Row],[Quantity]]*Table1[[#This Row],[Unit Price]])*(1-Table1[[#This Row],[Discount]])</f>
        <v>1537.518</v>
      </c>
      <c r="O279" s="21">
        <f>(Table1[[#This Row],[Unit Price]]-Table1[[#This Row],[Unit Cost]])*Table1[[#This Row],[Quantity]]</f>
        <v>537.76</v>
      </c>
      <c r="P279" s="9" t="str">
        <f t="shared" si="4"/>
        <v>Standard</v>
      </c>
      <c r="Q279" s="9" t="str">
        <f>IF(Table1[[#This Row],[Discount]]&gt;=15%,"HIGH",IF(Table1[[#This Row],[Discount]]&gt;=55,"MEDIUM","NONE"))</f>
        <v>NONE</v>
      </c>
      <c r="R279" s="9">
        <f>Table1[[#This Row],[Ship Date]]-Table1[[#This Row],[Order Date]]</f>
        <v>2</v>
      </c>
      <c r="S279" s="9">
        <f>VLOOKUP(Table1[[#This Row],[Region]],Table2[],2,FALSE)</f>
        <v>130000</v>
      </c>
      <c r="T279" s="9">
        <f>INDEX(Table2[Quarterly Target],MATCH(Table1[[#This Row],[Region]],Table2[[Region ]],0))</f>
        <v>130000</v>
      </c>
      <c r="U279" s="9">
        <f>RANK(Table1[[#This Row],[Sales]],Table1[Sales])</f>
        <v>148</v>
      </c>
      <c r="V279" s="21">
        <f>SUM(N$2:N280)</f>
        <v>827938.77000000048</v>
      </c>
    </row>
    <row r="280" spans="1:22" x14ac:dyDescent="0.25">
      <c r="A280" s="5" t="s">
        <v>684</v>
      </c>
      <c r="B280" s="6" t="s">
        <v>685</v>
      </c>
      <c r="C280" s="6" t="s">
        <v>496</v>
      </c>
      <c r="D280" s="7" t="s">
        <v>16</v>
      </c>
      <c r="E280" s="7" t="s">
        <v>55</v>
      </c>
      <c r="F280" s="7" t="s">
        <v>18</v>
      </c>
      <c r="G280" s="7" t="s">
        <v>32</v>
      </c>
      <c r="H280" s="7" t="s">
        <v>61</v>
      </c>
      <c r="I280" s="7" t="s">
        <v>88</v>
      </c>
      <c r="J280" s="7">
        <v>15</v>
      </c>
      <c r="K280" s="24">
        <v>13.57</v>
      </c>
      <c r="L280" s="8">
        <v>0.05</v>
      </c>
      <c r="M280" s="20">
        <v>9.0399999999999991</v>
      </c>
      <c r="N280" s="21">
        <f>(Table1[[#This Row],[Quantity]]*Table1[[#This Row],[Unit Price]])*(1-Table1[[#This Row],[Discount]])</f>
        <v>193.3725</v>
      </c>
      <c r="O280" s="21">
        <f>(Table1[[#This Row],[Unit Price]]-Table1[[#This Row],[Unit Cost]])*Table1[[#This Row],[Quantity]]</f>
        <v>67.950000000000017</v>
      </c>
      <c r="P280" s="9" t="str">
        <f t="shared" si="4"/>
        <v>Standard</v>
      </c>
      <c r="Q280" s="9" t="str">
        <f>IF(Table1[[#This Row],[Discount]]&gt;=15%,"HIGH",IF(Table1[[#This Row],[Discount]]&gt;=55,"MEDIUM","NONE"))</f>
        <v>NONE</v>
      </c>
      <c r="R280" s="9">
        <f>Table1[[#This Row],[Ship Date]]-Table1[[#This Row],[Order Date]]</f>
        <v>5</v>
      </c>
      <c r="S280" s="9">
        <f>VLOOKUP(Table1[[#This Row],[Region]],Table2[],2,FALSE)</f>
        <v>140000</v>
      </c>
      <c r="T280" s="9">
        <f>INDEX(Table2[Quarterly Target],MATCH(Table1[[#This Row],[Region]],Table2[[Region ]],0))</f>
        <v>140000</v>
      </c>
      <c r="U280" s="9">
        <f>RANK(Table1[[#This Row],[Sales]],Table1[Sales])</f>
        <v>317</v>
      </c>
      <c r="V280" s="21">
        <f>SUM(N$2:N281)</f>
        <v>842634.27600000054</v>
      </c>
    </row>
    <row r="281" spans="1:22" x14ac:dyDescent="0.25">
      <c r="A281" s="5" t="s">
        <v>686</v>
      </c>
      <c r="B281" s="6" t="s">
        <v>629</v>
      </c>
      <c r="C281" s="6" t="s">
        <v>629</v>
      </c>
      <c r="D281" s="7" t="s">
        <v>24</v>
      </c>
      <c r="E281" s="7" t="s">
        <v>49</v>
      </c>
      <c r="F281" s="7" t="s">
        <v>43</v>
      </c>
      <c r="G281" s="7" t="s">
        <v>32</v>
      </c>
      <c r="H281" s="7" t="s">
        <v>20</v>
      </c>
      <c r="I281" s="7" t="s">
        <v>113</v>
      </c>
      <c r="J281" s="7">
        <v>14</v>
      </c>
      <c r="K281" s="24">
        <v>1166.31</v>
      </c>
      <c r="L281" s="8">
        <v>0.1</v>
      </c>
      <c r="M281" s="20">
        <v>707.81</v>
      </c>
      <c r="N281" s="21">
        <f>(Table1[[#This Row],[Quantity]]*Table1[[#This Row],[Unit Price]])*(1-Table1[[#This Row],[Discount]])</f>
        <v>14695.506000000001</v>
      </c>
      <c r="O281" s="21">
        <f>(Table1[[#This Row],[Unit Price]]-Table1[[#This Row],[Unit Cost]])*Table1[[#This Row],[Quantity]]</f>
        <v>6419</v>
      </c>
      <c r="P281" s="9" t="str">
        <f t="shared" si="4"/>
        <v>Bulk</v>
      </c>
      <c r="Q281" s="9" t="str">
        <f>IF(Table1[[#This Row],[Discount]]&gt;=15%,"HIGH",IF(Table1[[#This Row],[Discount]]&gt;=55,"MEDIUM","NONE"))</f>
        <v>NONE</v>
      </c>
      <c r="R281" s="9">
        <f>Table1[[#This Row],[Ship Date]]-Table1[[#This Row],[Order Date]]</f>
        <v>0</v>
      </c>
      <c r="S281" s="9">
        <f>VLOOKUP(Table1[[#This Row],[Region]],Table2[],2,FALSE)</f>
        <v>150000</v>
      </c>
      <c r="T281" s="9">
        <f>INDEX(Table2[Quarterly Target],MATCH(Table1[[#This Row],[Region]],Table2[[Region ]],0))</f>
        <v>150000</v>
      </c>
      <c r="U281" s="9">
        <f>RANK(Table1[[#This Row],[Sales]],Table1[Sales])</f>
        <v>19</v>
      </c>
      <c r="V281" s="21">
        <f>SUM(N$2:N282)</f>
        <v>842764.83600000059</v>
      </c>
    </row>
    <row r="282" spans="1:22" x14ac:dyDescent="0.25">
      <c r="A282" s="5" t="s">
        <v>687</v>
      </c>
      <c r="B282" s="6" t="s">
        <v>688</v>
      </c>
      <c r="C282" s="6" t="s">
        <v>689</v>
      </c>
      <c r="D282" s="7" t="s">
        <v>30</v>
      </c>
      <c r="E282" s="7" t="s">
        <v>109</v>
      </c>
      <c r="F282" s="7" t="s">
        <v>60</v>
      </c>
      <c r="G282" s="7" t="s">
        <v>19</v>
      </c>
      <c r="H282" s="7" t="s">
        <v>61</v>
      </c>
      <c r="I282" s="7" t="s">
        <v>72</v>
      </c>
      <c r="J282" s="7">
        <v>10</v>
      </c>
      <c r="K282" s="24">
        <v>16.32</v>
      </c>
      <c r="L282" s="8">
        <v>0.2</v>
      </c>
      <c r="M282" s="20">
        <v>11.89</v>
      </c>
      <c r="N282" s="21">
        <f>(Table1[[#This Row],[Quantity]]*Table1[[#This Row],[Unit Price]])*(1-Table1[[#This Row],[Discount]])</f>
        <v>130.56</v>
      </c>
      <c r="O282" s="21">
        <f>(Table1[[#This Row],[Unit Price]]-Table1[[#This Row],[Unit Cost]])*Table1[[#This Row],[Quantity]]</f>
        <v>44.3</v>
      </c>
      <c r="P282" s="9" t="str">
        <f t="shared" si="4"/>
        <v>Bulk</v>
      </c>
      <c r="Q282" s="9" t="str">
        <f>IF(Table1[[#This Row],[Discount]]&gt;=15%,"HIGH",IF(Table1[[#This Row],[Discount]]&gt;=55,"MEDIUM","NONE"))</f>
        <v>HIGH</v>
      </c>
      <c r="R282" s="9">
        <f>Table1[[#This Row],[Ship Date]]-Table1[[#This Row],[Order Date]]</f>
        <v>2</v>
      </c>
      <c r="S282" s="9">
        <f>VLOOKUP(Table1[[#This Row],[Region]],Table2[],2,FALSE)</f>
        <v>160000</v>
      </c>
      <c r="T282" s="9">
        <f>INDEX(Table2[Quarterly Target],MATCH(Table1[[#This Row],[Region]],Table2[[Region ]],0))</f>
        <v>160000</v>
      </c>
      <c r="U282" s="9">
        <f>RANK(Table1[[#This Row],[Sales]],Table1[Sales])</f>
        <v>344</v>
      </c>
      <c r="V282" s="21">
        <f>SUM(N$2:N283)</f>
        <v>844168.9170000006</v>
      </c>
    </row>
    <row r="283" spans="1:22" x14ac:dyDescent="0.25">
      <c r="A283" s="5" t="s">
        <v>690</v>
      </c>
      <c r="B283" s="6" t="s">
        <v>257</v>
      </c>
      <c r="C283" s="6" t="s">
        <v>691</v>
      </c>
      <c r="D283" s="7" t="s">
        <v>16</v>
      </c>
      <c r="E283" s="7" t="s">
        <v>87</v>
      </c>
      <c r="F283" s="7" t="s">
        <v>25</v>
      </c>
      <c r="G283" s="7" t="s">
        <v>50</v>
      </c>
      <c r="H283" s="7" t="s">
        <v>45</v>
      </c>
      <c r="I283" s="7" t="s">
        <v>68</v>
      </c>
      <c r="J283" s="7">
        <v>14</v>
      </c>
      <c r="K283" s="24">
        <v>117.99</v>
      </c>
      <c r="L283" s="8">
        <v>0.15</v>
      </c>
      <c r="M283" s="20">
        <v>77.739999999999995</v>
      </c>
      <c r="N283" s="21">
        <f>(Table1[[#This Row],[Quantity]]*Table1[[#This Row],[Unit Price]])*(1-Table1[[#This Row],[Discount]])</f>
        <v>1404.0809999999999</v>
      </c>
      <c r="O283" s="21">
        <f>(Table1[[#This Row],[Unit Price]]-Table1[[#This Row],[Unit Cost]])*Table1[[#This Row],[Quantity]]</f>
        <v>563.5</v>
      </c>
      <c r="P283" s="9" t="str">
        <f t="shared" si="4"/>
        <v>Standard</v>
      </c>
      <c r="Q283" s="9" t="str">
        <f>IF(Table1[[#This Row],[Discount]]&gt;=15%,"HIGH",IF(Table1[[#This Row],[Discount]]&gt;=55,"MEDIUM","NONE"))</f>
        <v>HIGH</v>
      </c>
      <c r="R283" s="9">
        <f>Table1[[#This Row],[Ship Date]]-Table1[[#This Row],[Order Date]]</f>
        <v>5</v>
      </c>
      <c r="S283" s="9">
        <f>VLOOKUP(Table1[[#This Row],[Region]],Table2[],2,FALSE)</f>
        <v>130000</v>
      </c>
      <c r="T283" s="9">
        <f>INDEX(Table2[Quarterly Target],MATCH(Table1[[#This Row],[Region]],Table2[[Region ]],0))</f>
        <v>130000</v>
      </c>
      <c r="U283" s="9">
        <f>RANK(Table1[[#This Row],[Sales]],Table1[Sales])</f>
        <v>154</v>
      </c>
      <c r="V283" s="21">
        <f>SUM(N$2:N284)</f>
        <v>854416.60500000056</v>
      </c>
    </row>
    <row r="284" spans="1:22" x14ac:dyDescent="0.25">
      <c r="A284" s="5" t="s">
        <v>692</v>
      </c>
      <c r="B284" s="6" t="s">
        <v>693</v>
      </c>
      <c r="C284" s="6" t="s">
        <v>693</v>
      </c>
      <c r="D284" s="7" t="s">
        <v>24</v>
      </c>
      <c r="E284" s="7" t="s">
        <v>122</v>
      </c>
      <c r="F284" s="7" t="s">
        <v>60</v>
      </c>
      <c r="G284" s="7" t="s">
        <v>97</v>
      </c>
      <c r="H284" s="7" t="s">
        <v>20</v>
      </c>
      <c r="I284" s="7" t="s">
        <v>21</v>
      </c>
      <c r="J284" s="7">
        <v>11</v>
      </c>
      <c r="K284" s="24">
        <v>1035.1199999999999</v>
      </c>
      <c r="L284" s="8">
        <v>0.1</v>
      </c>
      <c r="M284" s="20">
        <v>687.88</v>
      </c>
      <c r="N284" s="21">
        <f>(Table1[[#This Row],[Quantity]]*Table1[[#This Row],[Unit Price]])*(1-Table1[[#This Row],[Discount]])</f>
        <v>10247.688</v>
      </c>
      <c r="O284" s="21">
        <f>(Table1[[#This Row],[Unit Price]]-Table1[[#This Row],[Unit Cost]])*Table1[[#This Row],[Quantity]]</f>
        <v>3819.639999999999</v>
      </c>
      <c r="P284" s="9" t="str">
        <f t="shared" si="4"/>
        <v>Bulk</v>
      </c>
      <c r="Q284" s="9" t="str">
        <f>IF(Table1[[#This Row],[Discount]]&gt;=15%,"HIGH",IF(Table1[[#This Row],[Discount]]&gt;=55,"MEDIUM","NONE"))</f>
        <v>NONE</v>
      </c>
      <c r="R284" s="9">
        <f>Table1[[#This Row],[Ship Date]]-Table1[[#This Row],[Order Date]]</f>
        <v>0</v>
      </c>
      <c r="S284" s="9">
        <f>VLOOKUP(Table1[[#This Row],[Region]],Table2[],2,FALSE)</f>
        <v>160000</v>
      </c>
      <c r="T284" s="9">
        <f>INDEX(Table2[Quarterly Target],MATCH(Table1[[#This Row],[Region]],Table2[[Region ]],0))</f>
        <v>160000</v>
      </c>
      <c r="U284" s="9">
        <f>RANK(Table1[[#This Row],[Sales]],Table1[Sales])</f>
        <v>42</v>
      </c>
      <c r="V284" s="21">
        <f>SUM(N$2:N285)</f>
        <v>855516.47700000054</v>
      </c>
    </row>
    <row r="285" spans="1:22" x14ac:dyDescent="0.25">
      <c r="A285" s="5" t="s">
        <v>694</v>
      </c>
      <c r="B285" s="6" t="s">
        <v>695</v>
      </c>
      <c r="C285" s="6" t="s">
        <v>696</v>
      </c>
      <c r="D285" s="7" t="s">
        <v>16</v>
      </c>
      <c r="E285" s="7" t="s">
        <v>109</v>
      </c>
      <c r="F285" s="7" t="s">
        <v>25</v>
      </c>
      <c r="G285" s="7" t="s">
        <v>67</v>
      </c>
      <c r="H285" s="7" t="s">
        <v>61</v>
      </c>
      <c r="I285" s="7" t="s">
        <v>88</v>
      </c>
      <c r="J285" s="7">
        <v>19</v>
      </c>
      <c r="K285" s="24">
        <v>72.36</v>
      </c>
      <c r="L285" s="8">
        <v>0.2</v>
      </c>
      <c r="M285" s="20">
        <v>44.97</v>
      </c>
      <c r="N285" s="21">
        <f>(Table1[[#This Row],[Quantity]]*Table1[[#This Row],[Unit Price]])*(1-Table1[[#This Row],[Discount]])</f>
        <v>1099.8720000000001</v>
      </c>
      <c r="O285" s="21">
        <f>(Table1[[#This Row],[Unit Price]]-Table1[[#This Row],[Unit Cost]])*Table1[[#This Row],[Quantity]]</f>
        <v>520.41</v>
      </c>
      <c r="P285" s="9" t="str">
        <f t="shared" si="4"/>
        <v>Bulk</v>
      </c>
      <c r="Q285" s="9" t="str">
        <f>IF(Table1[[#This Row],[Discount]]&gt;=15%,"HIGH",IF(Table1[[#This Row],[Discount]]&gt;=55,"MEDIUM","NONE"))</f>
        <v>HIGH</v>
      </c>
      <c r="R285" s="9">
        <f>Table1[[#This Row],[Ship Date]]-Table1[[#This Row],[Order Date]]</f>
        <v>6</v>
      </c>
      <c r="S285" s="9">
        <f>VLOOKUP(Table1[[#This Row],[Region]],Table2[],2,FALSE)</f>
        <v>130000</v>
      </c>
      <c r="T285" s="9">
        <f>INDEX(Table2[Quarterly Target],MATCH(Table1[[#This Row],[Region]],Table2[[Region ]],0))</f>
        <v>130000</v>
      </c>
      <c r="U285" s="9">
        <f>RANK(Table1[[#This Row],[Sales]],Table1[Sales])</f>
        <v>173</v>
      </c>
      <c r="V285" s="21">
        <f>SUM(N$2:N286)</f>
        <v>855708.65700000059</v>
      </c>
    </row>
    <row r="286" spans="1:22" x14ac:dyDescent="0.25">
      <c r="A286" s="5" t="s">
        <v>697</v>
      </c>
      <c r="B286" s="6" t="s">
        <v>284</v>
      </c>
      <c r="C286" s="6" t="s">
        <v>208</v>
      </c>
      <c r="D286" s="7" t="s">
        <v>16</v>
      </c>
      <c r="E286" s="7" t="s">
        <v>112</v>
      </c>
      <c r="F286" s="7" t="s">
        <v>38</v>
      </c>
      <c r="G286" s="7" t="s">
        <v>82</v>
      </c>
      <c r="H286" s="7" t="s">
        <v>61</v>
      </c>
      <c r="I286" s="7" t="s">
        <v>62</v>
      </c>
      <c r="J286" s="7">
        <v>6</v>
      </c>
      <c r="K286" s="24">
        <v>32.03</v>
      </c>
      <c r="L286" s="8">
        <v>0</v>
      </c>
      <c r="M286" s="20">
        <v>22.57</v>
      </c>
      <c r="N286" s="21">
        <f>(Table1[[#This Row],[Quantity]]*Table1[[#This Row],[Unit Price]])*(1-Table1[[#This Row],[Discount]])</f>
        <v>192.18</v>
      </c>
      <c r="O286" s="21">
        <f>(Table1[[#This Row],[Unit Price]]-Table1[[#This Row],[Unit Cost]])*Table1[[#This Row],[Quantity]]</f>
        <v>56.760000000000005</v>
      </c>
      <c r="P286" s="9" t="str">
        <f t="shared" si="4"/>
        <v>Bulk</v>
      </c>
      <c r="Q286" s="9" t="str">
        <f>IF(Table1[[#This Row],[Discount]]&gt;=15%,"HIGH",IF(Table1[[#This Row],[Discount]]&gt;=55,"MEDIUM","NONE"))</f>
        <v>NONE</v>
      </c>
      <c r="R286" s="9">
        <f>Table1[[#This Row],[Ship Date]]-Table1[[#This Row],[Order Date]]</f>
        <v>7</v>
      </c>
      <c r="S286" s="9">
        <f>VLOOKUP(Table1[[#This Row],[Region]],Table2[],2,FALSE)</f>
        <v>120000</v>
      </c>
      <c r="T286" s="9">
        <f>INDEX(Table2[Quarterly Target],MATCH(Table1[[#This Row],[Region]],Table2[[Region ]],0))</f>
        <v>120000</v>
      </c>
      <c r="U286" s="9">
        <f>RANK(Table1[[#This Row],[Sales]],Table1[Sales])</f>
        <v>318</v>
      </c>
      <c r="V286" s="21">
        <f>SUM(N$2:N287)</f>
        <v>855720.52900000056</v>
      </c>
    </row>
    <row r="287" spans="1:22" x14ac:dyDescent="0.25">
      <c r="A287" s="5" t="s">
        <v>698</v>
      </c>
      <c r="B287" s="6" t="s">
        <v>598</v>
      </c>
      <c r="C287" s="6" t="s">
        <v>699</v>
      </c>
      <c r="D287" s="7" t="s">
        <v>30</v>
      </c>
      <c r="E287" s="7" t="s">
        <v>66</v>
      </c>
      <c r="F287" s="7" t="s">
        <v>43</v>
      </c>
      <c r="G287" s="7" t="s">
        <v>44</v>
      </c>
      <c r="H287" s="7" t="s">
        <v>33</v>
      </c>
      <c r="I287" s="7" t="s">
        <v>51</v>
      </c>
      <c r="J287" s="7">
        <v>1</v>
      </c>
      <c r="K287" s="24">
        <v>14.84</v>
      </c>
      <c r="L287" s="8">
        <v>0.2</v>
      </c>
      <c r="M287" s="20">
        <v>9.2899999999999991</v>
      </c>
      <c r="N287" s="21">
        <f>(Table1[[#This Row],[Quantity]]*Table1[[#This Row],[Unit Price]])*(1-Table1[[#This Row],[Discount]])</f>
        <v>11.872</v>
      </c>
      <c r="O287" s="21">
        <f>(Table1[[#This Row],[Unit Price]]-Table1[[#This Row],[Unit Cost]])*Table1[[#This Row],[Quantity]]</f>
        <v>5.5500000000000007</v>
      </c>
      <c r="P287" s="9" t="str">
        <f t="shared" si="4"/>
        <v>Standard</v>
      </c>
      <c r="Q287" s="9" t="str">
        <f>IF(Table1[[#This Row],[Discount]]&gt;=15%,"HIGH",IF(Table1[[#This Row],[Discount]]&gt;=55,"MEDIUM","NONE"))</f>
        <v>HIGH</v>
      </c>
      <c r="R287" s="9">
        <f>Table1[[#This Row],[Ship Date]]-Table1[[#This Row],[Order Date]]</f>
        <v>3</v>
      </c>
      <c r="S287" s="9">
        <f>VLOOKUP(Table1[[#This Row],[Region]],Table2[],2,FALSE)</f>
        <v>150000</v>
      </c>
      <c r="T287" s="9">
        <f>INDEX(Table2[Quarterly Target],MATCH(Table1[[#This Row],[Region]],Table2[[Region ]],0))</f>
        <v>150000</v>
      </c>
      <c r="U287" s="9">
        <f>RANK(Table1[[#This Row],[Sales]],Table1[Sales])</f>
        <v>397</v>
      </c>
      <c r="V287" s="21">
        <f>SUM(N$2:N288)</f>
        <v>862914.30100000056</v>
      </c>
    </row>
    <row r="288" spans="1:22" x14ac:dyDescent="0.25">
      <c r="A288" s="5" t="s">
        <v>700</v>
      </c>
      <c r="B288" s="6" t="s">
        <v>240</v>
      </c>
      <c r="C288" s="6" t="s">
        <v>500</v>
      </c>
      <c r="D288" s="7" t="s">
        <v>30</v>
      </c>
      <c r="E288" s="7" t="s">
        <v>214</v>
      </c>
      <c r="F288" s="7" t="s">
        <v>25</v>
      </c>
      <c r="G288" s="7" t="s">
        <v>82</v>
      </c>
      <c r="H288" s="7" t="s">
        <v>20</v>
      </c>
      <c r="I288" s="7" t="s">
        <v>113</v>
      </c>
      <c r="J288" s="7">
        <v>9</v>
      </c>
      <c r="K288" s="24">
        <v>888.12</v>
      </c>
      <c r="L288" s="8">
        <v>0.1</v>
      </c>
      <c r="M288" s="20">
        <v>631.79999999999995</v>
      </c>
      <c r="N288" s="21">
        <f>(Table1[[#This Row],[Quantity]]*Table1[[#This Row],[Unit Price]])*(1-Table1[[#This Row],[Discount]])</f>
        <v>7193.7719999999999</v>
      </c>
      <c r="O288" s="21">
        <f>(Table1[[#This Row],[Unit Price]]-Table1[[#This Row],[Unit Cost]])*Table1[[#This Row],[Quantity]]</f>
        <v>2306.8800000000006</v>
      </c>
      <c r="P288" s="9" t="str">
        <f t="shared" si="4"/>
        <v>Standard</v>
      </c>
      <c r="Q288" s="9" t="str">
        <f>IF(Table1[[#This Row],[Discount]]&gt;=15%,"HIGH",IF(Table1[[#This Row],[Discount]]&gt;=55,"MEDIUM","NONE"))</f>
        <v>NONE</v>
      </c>
      <c r="R288" s="9">
        <f>Table1[[#This Row],[Ship Date]]-Table1[[#This Row],[Order Date]]</f>
        <v>3</v>
      </c>
      <c r="S288" s="9">
        <f>VLOOKUP(Table1[[#This Row],[Region]],Table2[],2,FALSE)</f>
        <v>130000</v>
      </c>
      <c r="T288" s="9">
        <f>INDEX(Table2[Quarterly Target],MATCH(Table1[[#This Row],[Region]],Table2[[Region ]],0))</f>
        <v>130000</v>
      </c>
      <c r="U288" s="9">
        <f>RANK(Table1[[#This Row],[Sales]],Table1[Sales])</f>
        <v>67</v>
      </c>
      <c r="V288" s="21">
        <f>SUM(N$2:N289)</f>
        <v>862992.07600000058</v>
      </c>
    </row>
    <row r="289" spans="1:22" x14ac:dyDescent="0.25">
      <c r="A289" s="5" t="s">
        <v>701</v>
      </c>
      <c r="B289" s="6" t="s">
        <v>702</v>
      </c>
      <c r="C289" s="6" t="s">
        <v>702</v>
      </c>
      <c r="D289" s="7" t="s">
        <v>24</v>
      </c>
      <c r="E289" s="7" t="s">
        <v>206</v>
      </c>
      <c r="F289" s="7" t="s">
        <v>38</v>
      </c>
      <c r="G289" s="7" t="s">
        <v>26</v>
      </c>
      <c r="H289" s="7" t="s">
        <v>61</v>
      </c>
      <c r="I289" s="7" t="s">
        <v>62</v>
      </c>
      <c r="J289" s="7">
        <v>6</v>
      </c>
      <c r="K289" s="24">
        <v>15.25</v>
      </c>
      <c r="L289" s="8">
        <v>0.15</v>
      </c>
      <c r="M289" s="20">
        <v>10.32</v>
      </c>
      <c r="N289" s="21">
        <f>(Table1[[#This Row],[Quantity]]*Table1[[#This Row],[Unit Price]])*(1-Table1[[#This Row],[Discount]])</f>
        <v>77.774999999999991</v>
      </c>
      <c r="O289" s="21">
        <f>(Table1[[#This Row],[Unit Price]]-Table1[[#This Row],[Unit Cost]])*Table1[[#This Row],[Quantity]]</f>
        <v>29.58</v>
      </c>
      <c r="P289" s="9" t="str">
        <f t="shared" si="4"/>
        <v>Standard</v>
      </c>
      <c r="Q289" s="9" t="str">
        <f>IF(Table1[[#This Row],[Discount]]&gt;=15%,"HIGH",IF(Table1[[#This Row],[Discount]]&gt;=55,"MEDIUM","NONE"))</f>
        <v>HIGH</v>
      </c>
      <c r="R289" s="9">
        <f>Table1[[#This Row],[Ship Date]]-Table1[[#This Row],[Order Date]]</f>
        <v>0</v>
      </c>
      <c r="S289" s="9">
        <f>VLOOKUP(Table1[[#This Row],[Region]],Table2[],2,FALSE)</f>
        <v>120000</v>
      </c>
      <c r="T289" s="9">
        <f>INDEX(Table2[Quarterly Target],MATCH(Table1[[#This Row],[Region]],Table2[[Region ]],0))</f>
        <v>120000</v>
      </c>
      <c r="U289" s="9">
        <f>RANK(Table1[[#This Row],[Sales]],Table1[Sales])</f>
        <v>368</v>
      </c>
      <c r="V289" s="21">
        <f>SUM(N$2:N290)</f>
        <v>864248.95400000061</v>
      </c>
    </row>
    <row r="290" spans="1:22" x14ac:dyDescent="0.25">
      <c r="A290" s="5" t="s">
        <v>703</v>
      </c>
      <c r="B290" s="6" t="s">
        <v>269</v>
      </c>
      <c r="C290" s="6" t="s">
        <v>704</v>
      </c>
      <c r="D290" s="7" t="s">
        <v>30</v>
      </c>
      <c r="E290" s="7" t="s">
        <v>17</v>
      </c>
      <c r="F290" s="7" t="s">
        <v>43</v>
      </c>
      <c r="G290" s="7" t="s">
        <v>26</v>
      </c>
      <c r="H290" s="7" t="s">
        <v>45</v>
      </c>
      <c r="I290" s="7" t="s">
        <v>68</v>
      </c>
      <c r="J290" s="7">
        <v>2</v>
      </c>
      <c r="K290" s="24">
        <v>739.34</v>
      </c>
      <c r="L290" s="8">
        <v>0.15</v>
      </c>
      <c r="M290" s="20">
        <v>443.44</v>
      </c>
      <c r="N290" s="21">
        <f>(Table1[[#This Row],[Quantity]]*Table1[[#This Row],[Unit Price]])*(1-Table1[[#This Row],[Discount]])</f>
        <v>1256.8779999999999</v>
      </c>
      <c r="O290" s="21">
        <f>(Table1[[#This Row],[Unit Price]]-Table1[[#This Row],[Unit Cost]])*Table1[[#This Row],[Quantity]]</f>
        <v>591.80000000000007</v>
      </c>
      <c r="P290" s="9" t="str">
        <f t="shared" si="4"/>
        <v>Standard</v>
      </c>
      <c r="Q290" s="9" t="str">
        <f>IF(Table1[[#This Row],[Discount]]&gt;=15%,"HIGH",IF(Table1[[#This Row],[Discount]]&gt;=55,"MEDIUM","NONE"))</f>
        <v>HIGH</v>
      </c>
      <c r="R290" s="9">
        <f>Table1[[#This Row],[Ship Date]]-Table1[[#This Row],[Order Date]]</f>
        <v>3</v>
      </c>
      <c r="S290" s="9">
        <f>VLOOKUP(Table1[[#This Row],[Region]],Table2[],2,FALSE)</f>
        <v>150000</v>
      </c>
      <c r="T290" s="9">
        <f>INDEX(Table2[Quarterly Target],MATCH(Table1[[#This Row],[Region]],Table2[[Region ]],0))</f>
        <v>150000</v>
      </c>
      <c r="U290" s="9">
        <f>RANK(Table1[[#This Row],[Sales]],Table1[Sales])</f>
        <v>163</v>
      </c>
      <c r="V290" s="21">
        <f>SUM(N$2:N291)</f>
        <v>864979.99400000065</v>
      </c>
    </row>
    <row r="291" spans="1:22" x14ac:dyDescent="0.25">
      <c r="A291" s="5" t="s">
        <v>705</v>
      </c>
      <c r="B291" s="6" t="s">
        <v>706</v>
      </c>
      <c r="C291" s="6" t="s">
        <v>111</v>
      </c>
      <c r="D291" s="7" t="s">
        <v>30</v>
      </c>
      <c r="E291" s="7" t="s">
        <v>17</v>
      </c>
      <c r="F291" s="7" t="s">
        <v>43</v>
      </c>
      <c r="G291" s="7" t="s">
        <v>32</v>
      </c>
      <c r="H291" s="7" t="s">
        <v>61</v>
      </c>
      <c r="I291" s="7" t="s">
        <v>106</v>
      </c>
      <c r="J291" s="7">
        <v>20</v>
      </c>
      <c r="K291" s="24">
        <v>45.69</v>
      </c>
      <c r="L291" s="8">
        <v>0.2</v>
      </c>
      <c r="M291" s="20">
        <v>30.55</v>
      </c>
      <c r="N291" s="21">
        <f>(Table1[[#This Row],[Quantity]]*Table1[[#This Row],[Unit Price]])*(1-Table1[[#This Row],[Discount]])</f>
        <v>731.04</v>
      </c>
      <c r="O291" s="21">
        <f>(Table1[[#This Row],[Unit Price]]-Table1[[#This Row],[Unit Cost]])*Table1[[#This Row],[Quantity]]</f>
        <v>302.79999999999995</v>
      </c>
      <c r="P291" s="9" t="str">
        <f t="shared" si="4"/>
        <v>Standard</v>
      </c>
      <c r="Q291" s="9" t="str">
        <f>IF(Table1[[#This Row],[Discount]]&gt;=15%,"HIGH",IF(Table1[[#This Row],[Discount]]&gt;=55,"MEDIUM","NONE"))</f>
        <v>HIGH</v>
      </c>
      <c r="R291" s="9">
        <f>Table1[[#This Row],[Ship Date]]-Table1[[#This Row],[Order Date]]</f>
        <v>3</v>
      </c>
      <c r="S291" s="9">
        <f>VLOOKUP(Table1[[#This Row],[Region]],Table2[],2,FALSE)</f>
        <v>150000</v>
      </c>
      <c r="T291" s="9">
        <f>INDEX(Table2[Quarterly Target],MATCH(Table1[[#This Row],[Region]],Table2[[Region ]],0))</f>
        <v>150000</v>
      </c>
      <c r="U291" s="9">
        <f>RANK(Table1[[#This Row],[Sales]],Table1[Sales])</f>
        <v>201</v>
      </c>
      <c r="V291" s="21">
        <f>SUM(N$2:N292)</f>
        <v>865145.35400000063</v>
      </c>
    </row>
    <row r="292" spans="1:22" x14ac:dyDescent="0.25">
      <c r="A292" s="5" t="s">
        <v>707</v>
      </c>
      <c r="B292" s="6" t="s">
        <v>708</v>
      </c>
      <c r="C292" s="6" t="s">
        <v>339</v>
      </c>
      <c r="D292" s="7" t="s">
        <v>16</v>
      </c>
      <c r="E292" s="7" t="s">
        <v>91</v>
      </c>
      <c r="F292" s="7" t="s">
        <v>18</v>
      </c>
      <c r="G292" s="7" t="s">
        <v>97</v>
      </c>
      <c r="H292" s="7" t="s">
        <v>33</v>
      </c>
      <c r="I292" s="7" t="s">
        <v>34</v>
      </c>
      <c r="J292" s="7">
        <v>6</v>
      </c>
      <c r="K292" s="24">
        <v>34.450000000000003</v>
      </c>
      <c r="L292" s="8">
        <v>0.2</v>
      </c>
      <c r="M292" s="20">
        <v>27.26</v>
      </c>
      <c r="N292" s="21">
        <f>(Table1[[#This Row],[Quantity]]*Table1[[#This Row],[Unit Price]])*(1-Table1[[#This Row],[Discount]])</f>
        <v>165.36</v>
      </c>
      <c r="O292" s="21">
        <f>(Table1[[#This Row],[Unit Price]]-Table1[[#This Row],[Unit Cost]])*Table1[[#This Row],[Quantity]]</f>
        <v>43.140000000000008</v>
      </c>
      <c r="P292" s="9" t="str">
        <f t="shared" si="4"/>
        <v>Bulk</v>
      </c>
      <c r="Q292" s="9" t="str">
        <f>IF(Table1[[#This Row],[Discount]]&gt;=15%,"HIGH",IF(Table1[[#This Row],[Discount]]&gt;=55,"MEDIUM","NONE"))</f>
        <v>HIGH</v>
      </c>
      <c r="R292" s="9">
        <f>Table1[[#This Row],[Ship Date]]-Table1[[#This Row],[Order Date]]</f>
        <v>5</v>
      </c>
      <c r="S292" s="9">
        <f>VLOOKUP(Table1[[#This Row],[Region]],Table2[],2,FALSE)</f>
        <v>140000</v>
      </c>
      <c r="T292" s="9">
        <f>INDEX(Table2[Quarterly Target],MATCH(Table1[[#This Row],[Region]],Table2[[Region ]],0))</f>
        <v>140000</v>
      </c>
      <c r="U292" s="9">
        <f>RANK(Table1[[#This Row],[Sales]],Table1[Sales])</f>
        <v>326</v>
      </c>
      <c r="V292" s="21">
        <f>SUM(N$2:N293)</f>
        <v>865556.18400000059</v>
      </c>
    </row>
    <row r="293" spans="1:22" x14ac:dyDescent="0.25">
      <c r="A293" s="5" t="s">
        <v>709</v>
      </c>
      <c r="B293" s="6" t="s">
        <v>357</v>
      </c>
      <c r="C293" s="6" t="s">
        <v>357</v>
      </c>
      <c r="D293" s="7" t="s">
        <v>24</v>
      </c>
      <c r="E293" s="7" t="s">
        <v>71</v>
      </c>
      <c r="F293" s="7" t="s">
        <v>60</v>
      </c>
      <c r="G293" s="7" t="s">
        <v>26</v>
      </c>
      <c r="H293" s="7" t="s">
        <v>45</v>
      </c>
      <c r="I293" s="7" t="s">
        <v>148</v>
      </c>
      <c r="J293" s="7">
        <v>1</v>
      </c>
      <c r="K293" s="24">
        <v>410.83</v>
      </c>
      <c r="L293" s="8">
        <v>0</v>
      </c>
      <c r="M293" s="20">
        <v>292.45</v>
      </c>
      <c r="N293" s="21">
        <f>(Table1[[#This Row],[Quantity]]*Table1[[#This Row],[Unit Price]])*(1-Table1[[#This Row],[Discount]])</f>
        <v>410.83</v>
      </c>
      <c r="O293" s="21">
        <f>(Table1[[#This Row],[Unit Price]]-Table1[[#This Row],[Unit Cost]])*Table1[[#This Row],[Quantity]]</f>
        <v>118.38</v>
      </c>
      <c r="P293" s="9" t="str">
        <f t="shared" si="4"/>
        <v>Standard</v>
      </c>
      <c r="Q293" s="9" t="str">
        <f>IF(Table1[[#This Row],[Discount]]&gt;=15%,"HIGH",IF(Table1[[#This Row],[Discount]]&gt;=55,"MEDIUM","NONE"))</f>
        <v>NONE</v>
      </c>
      <c r="R293" s="9">
        <f>Table1[[#This Row],[Ship Date]]-Table1[[#This Row],[Order Date]]</f>
        <v>0</v>
      </c>
      <c r="S293" s="9">
        <f>VLOOKUP(Table1[[#This Row],[Region]],Table2[],2,FALSE)</f>
        <v>160000</v>
      </c>
      <c r="T293" s="9">
        <f>INDEX(Table2[Quarterly Target],MATCH(Table1[[#This Row],[Region]],Table2[[Region ]],0))</f>
        <v>160000</v>
      </c>
      <c r="U293" s="9">
        <f>RANK(Table1[[#This Row],[Sales]],Table1[Sales])</f>
        <v>243</v>
      </c>
      <c r="V293" s="21">
        <f>SUM(N$2:N294)</f>
        <v>865648.79400000058</v>
      </c>
    </row>
    <row r="294" spans="1:22" x14ac:dyDescent="0.25">
      <c r="A294" s="5" t="s">
        <v>710</v>
      </c>
      <c r="B294" s="6" t="s">
        <v>185</v>
      </c>
      <c r="C294" s="6" t="s">
        <v>186</v>
      </c>
      <c r="D294" s="7" t="s">
        <v>30</v>
      </c>
      <c r="E294" s="7" t="s">
        <v>55</v>
      </c>
      <c r="F294" s="7" t="s">
        <v>60</v>
      </c>
      <c r="G294" s="7" t="s">
        <v>32</v>
      </c>
      <c r="H294" s="7" t="s">
        <v>33</v>
      </c>
      <c r="I294" s="7" t="s">
        <v>39</v>
      </c>
      <c r="J294" s="7">
        <v>9</v>
      </c>
      <c r="K294" s="24">
        <v>10.29</v>
      </c>
      <c r="L294" s="8">
        <v>0</v>
      </c>
      <c r="M294" s="20">
        <v>7.4</v>
      </c>
      <c r="N294" s="21">
        <f>(Table1[[#This Row],[Quantity]]*Table1[[#This Row],[Unit Price]])*(1-Table1[[#This Row],[Discount]])</f>
        <v>92.609999999999985</v>
      </c>
      <c r="O294" s="21">
        <f>(Table1[[#This Row],[Unit Price]]-Table1[[#This Row],[Unit Cost]])*Table1[[#This Row],[Quantity]]</f>
        <v>26.009999999999991</v>
      </c>
      <c r="P294" s="9" t="str">
        <f t="shared" si="4"/>
        <v>Standard</v>
      </c>
      <c r="Q294" s="9" t="str">
        <f>IF(Table1[[#This Row],[Discount]]&gt;=15%,"HIGH",IF(Table1[[#This Row],[Discount]]&gt;=55,"MEDIUM","NONE"))</f>
        <v>NONE</v>
      </c>
      <c r="R294" s="9">
        <f>Table1[[#This Row],[Ship Date]]-Table1[[#This Row],[Order Date]]</f>
        <v>2</v>
      </c>
      <c r="S294" s="9">
        <f>VLOOKUP(Table1[[#This Row],[Region]],Table2[],2,FALSE)</f>
        <v>160000</v>
      </c>
      <c r="T294" s="9">
        <f>INDEX(Table2[Quarterly Target],MATCH(Table1[[#This Row],[Region]],Table2[[Region ]],0))</f>
        <v>160000</v>
      </c>
      <c r="U294" s="9">
        <f>RANK(Table1[[#This Row],[Sales]],Table1[Sales])</f>
        <v>363</v>
      </c>
      <c r="V294" s="21">
        <f>SUM(N$2:N295)</f>
        <v>865783.21400000062</v>
      </c>
    </row>
    <row r="295" spans="1:22" x14ac:dyDescent="0.25">
      <c r="A295" s="5" t="s">
        <v>711</v>
      </c>
      <c r="B295" s="6" t="s">
        <v>712</v>
      </c>
      <c r="C295" s="6" t="s">
        <v>713</v>
      </c>
      <c r="D295" s="7" t="s">
        <v>30</v>
      </c>
      <c r="E295" s="7" t="s">
        <v>112</v>
      </c>
      <c r="F295" s="7" t="s">
        <v>38</v>
      </c>
      <c r="G295" s="7" t="s">
        <v>44</v>
      </c>
      <c r="H295" s="7" t="s">
        <v>33</v>
      </c>
      <c r="I295" s="7" t="s">
        <v>153</v>
      </c>
      <c r="J295" s="7">
        <v>22</v>
      </c>
      <c r="K295" s="24">
        <v>6.11</v>
      </c>
      <c r="L295" s="8">
        <v>0</v>
      </c>
      <c r="M295" s="20">
        <v>3.87</v>
      </c>
      <c r="N295" s="21">
        <f>(Table1[[#This Row],[Quantity]]*Table1[[#This Row],[Unit Price]])*(1-Table1[[#This Row],[Discount]])</f>
        <v>134.42000000000002</v>
      </c>
      <c r="O295" s="21">
        <f>(Table1[[#This Row],[Unit Price]]-Table1[[#This Row],[Unit Cost]])*Table1[[#This Row],[Quantity]]</f>
        <v>49.28</v>
      </c>
      <c r="P295" s="9" t="str">
        <f t="shared" si="4"/>
        <v>Standard</v>
      </c>
      <c r="Q295" s="9" t="str">
        <f>IF(Table1[[#This Row],[Discount]]&gt;=15%,"HIGH",IF(Table1[[#This Row],[Discount]]&gt;=55,"MEDIUM","NONE"))</f>
        <v>NONE</v>
      </c>
      <c r="R295" s="9">
        <f>Table1[[#This Row],[Ship Date]]-Table1[[#This Row],[Order Date]]</f>
        <v>3</v>
      </c>
      <c r="S295" s="9">
        <f>VLOOKUP(Table1[[#This Row],[Region]],Table2[],2,FALSE)</f>
        <v>120000</v>
      </c>
      <c r="T295" s="9">
        <f>INDEX(Table2[Quarterly Target],MATCH(Table1[[#This Row],[Region]],Table2[[Region ]],0))</f>
        <v>120000</v>
      </c>
      <c r="U295" s="9">
        <f>RANK(Table1[[#This Row],[Sales]],Table1[Sales])</f>
        <v>341</v>
      </c>
      <c r="V295" s="21">
        <f>SUM(N$2:N296)</f>
        <v>866130.41400000057</v>
      </c>
    </row>
    <row r="296" spans="1:22" x14ac:dyDescent="0.25">
      <c r="A296" s="5" t="s">
        <v>714</v>
      </c>
      <c r="B296" s="6" t="s">
        <v>715</v>
      </c>
      <c r="C296" s="6" t="s">
        <v>716</v>
      </c>
      <c r="D296" s="7" t="s">
        <v>16</v>
      </c>
      <c r="E296" s="7" t="s">
        <v>59</v>
      </c>
      <c r="F296" s="7" t="s">
        <v>25</v>
      </c>
      <c r="G296" s="7" t="s">
        <v>19</v>
      </c>
      <c r="H296" s="7" t="s">
        <v>33</v>
      </c>
      <c r="I296" s="7" t="s">
        <v>39</v>
      </c>
      <c r="J296" s="7">
        <v>20</v>
      </c>
      <c r="K296" s="24">
        <v>17.36</v>
      </c>
      <c r="L296" s="8">
        <v>0</v>
      </c>
      <c r="M296" s="20">
        <v>12.5</v>
      </c>
      <c r="N296" s="21">
        <f>(Table1[[#This Row],[Quantity]]*Table1[[#This Row],[Unit Price]])*(1-Table1[[#This Row],[Discount]])</f>
        <v>347.2</v>
      </c>
      <c r="O296" s="21">
        <f>(Table1[[#This Row],[Unit Price]]-Table1[[#This Row],[Unit Cost]])*Table1[[#This Row],[Quantity]]</f>
        <v>97.199999999999989</v>
      </c>
      <c r="P296" s="9" t="str">
        <f t="shared" si="4"/>
        <v>Bulk</v>
      </c>
      <c r="Q296" s="9" t="str">
        <f>IF(Table1[[#This Row],[Discount]]&gt;=15%,"HIGH",IF(Table1[[#This Row],[Discount]]&gt;=55,"MEDIUM","NONE"))</f>
        <v>NONE</v>
      </c>
      <c r="R296" s="9">
        <f>Table1[[#This Row],[Ship Date]]-Table1[[#This Row],[Order Date]]</f>
        <v>4</v>
      </c>
      <c r="S296" s="9">
        <f>VLOOKUP(Table1[[#This Row],[Region]],Table2[],2,FALSE)</f>
        <v>130000</v>
      </c>
      <c r="T296" s="9">
        <f>INDEX(Table2[Quarterly Target],MATCH(Table1[[#This Row],[Region]],Table2[[Region ]],0))</f>
        <v>130000</v>
      </c>
      <c r="U296" s="9">
        <f>RANK(Table1[[#This Row],[Sales]],Table1[Sales])</f>
        <v>262</v>
      </c>
      <c r="V296" s="21">
        <f>SUM(N$2:N297)</f>
        <v>866862.73400000052</v>
      </c>
    </row>
    <row r="297" spans="1:22" x14ac:dyDescent="0.25">
      <c r="A297" s="5" t="s">
        <v>717</v>
      </c>
      <c r="B297" s="6" t="s">
        <v>718</v>
      </c>
      <c r="C297" s="6" t="s">
        <v>718</v>
      </c>
      <c r="D297" s="7" t="s">
        <v>24</v>
      </c>
      <c r="E297" s="7" t="s">
        <v>55</v>
      </c>
      <c r="F297" s="7" t="s">
        <v>60</v>
      </c>
      <c r="G297" s="7" t="s">
        <v>26</v>
      </c>
      <c r="H297" s="7" t="s">
        <v>33</v>
      </c>
      <c r="I297" s="7" t="s">
        <v>76</v>
      </c>
      <c r="J297" s="7">
        <v>23</v>
      </c>
      <c r="K297" s="24">
        <v>39.799999999999997</v>
      </c>
      <c r="L297" s="8">
        <v>0.2</v>
      </c>
      <c r="M297" s="20">
        <v>23.78</v>
      </c>
      <c r="N297" s="21">
        <f>(Table1[[#This Row],[Quantity]]*Table1[[#This Row],[Unit Price]])*(1-Table1[[#This Row],[Discount]])</f>
        <v>732.32</v>
      </c>
      <c r="O297" s="21">
        <f>(Table1[[#This Row],[Unit Price]]-Table1[[#This Row],[Unit Cost]])*Table1[[#This Row],[Quantity]]</f>
        <v>368.45999999999992</v>
      </c>
      <c r="P297" s="9" t="str">
        <f t="shared" si="4"/>
        <v>Bulk</v>
      </c>
      <c r="Q297" s="9" t="str">
        <f>IF(Table1[[#This Row],[Discount]]&gt;=15%,"HIGH",IF(Table1[[#This Row],[Discount]]&gt;=55,"MEDIUM","NONE"))</f>
        <v>HIGH</v>
      </c>
      <c r="R297" s="9">
        <f>Table1[[#This Row],[Ship Date]]-Table1[[#This Row],[Order Date]]</f>
        <v>0</v>
      </c>
      <c r="S297" s="9">
        <f>VLOOKUP(Table1[[#This Row],[Region]],Table2[],2,FALSE)</f>
        <v>160000</v>
      </c>
      <c r="T297" s="9">
        <f>INDEX(Table2[Quarterly Target],MATCH(Table1[[#This Row],[Region]],Table2[[Region ]],0))</f>
        <v>160000</v>
      </c>
      <c r="U297" s="9">
        <f>RANK(Table1[[#This Row],[Sales]],Table1[Sales])</f>
        <v>198</v>
      </c>
      <c r="V297" s="21">
        <f>SUM(N$2:N298)</f>
        <v>866930.36000000057</v>
      </c>
    </row>
    <row r="298" spans="1:22" x14ac:dyDescent="0.25">
      <c r="A298" s="5" t="s">
        <v>719</v>
      </c>
      <c r="B298" s="6" t="s">
        <v>720</v>
      </c>
      <c r="C298" s="6" t="s">
        <v>721</v>
      </c>
      <c r="D298" s="7" t="s">
        <v>30</v>
      </c>
      <c r="E298" s="7" t="s">
        <v>78</v>
      </c>
      <c r="F298" s="7" t="s">
        <v>18</v>
      </c>
      <c r="G298" s="7" t="s">
        <v>50</v>
      </c>
      <c r="H298" s="7" t="s">
        <v>33</v>
      </c>
      <c r="I298" s="7" t="s">
        <v>153</v>
      </c>
      <c r="J298" s="7">
        <v>4</v>
      </c>
      <c r="K298" s="24">
        <v>19.89</v>
      </c>
      <c r="L298" s="8">
        <v>0.15</v>
      </c>
      <c r="M298" s="20">
        <v>12.23</v>
      </c>
      <c r="N298" s="21">
        <f>(Table1[[#This Row],[Quantity]]*Table1[[#This Row],[Unit Price]])*(1-Table1[[#This Row],[Discount]])</f>
        <v>67.626000000000005</v>
      </c>
      <c r="O298" s="21">
        <f>(Table1[[#This Row],[Unit Price]]-Table1[[#This Row],[Unit Cost]])*Table1[[#This Row],[Quantity]]</f>
        <v>30.64</v>
      </c>
      <c r="P298" s="9" t="str">
        <f t="shared" si="4"/>
        <v>Bulk</v>
      </c>
      <c r="Q298" s="9" t="str">
        <f>IF(Table1[[#This Row],[Discount]]&gt;=15%,"HIGH",IF(Table1[[#This Row],[Discount]]&gt;=55,"MEDIUM","NONE"))</f>
        <v>HIGH</v>
      </c>
      <c r="R298" s="9">
        <f>Table1[[#This Row],[Ship Date]]-Table1[[#This Row],[Order Date]]</f>
        <v>3</v>
      </c>
      <c r="S298" s="9">
        <f>VLOOKUP(Table1[[#This Row],[Region]],Table2[],2,FALSE)</f>
        <v>140000</v>
      </c>
      <c r="T298" s="9">
        <f>INDEX(Table2[Quarterly Target],MATCH(Table1[[#This Row],[Region]],Table2[[Region ]],0))</f>
        <v>140000</v>
      </c>
      <c r="U298" s="9">
        <f>RANK(Table1[[#This Row],[Sales]],Table1[Sales])</f>
        <v>372</v>
      </c>
      <c r="V298" s="21">
        <f>SUM(N$2:N299)</f>
        <v>871656.9170000006</v>
      </c>
    </row>
    <row r="299" spans="1:22" x14ac:dyDescent="0.25">
      <c r="A299" s="5" t="s">
        <v>722</v>
      </c>
      <c r="B299" s="6" t="s">
        <v>458</v>
      </c>
      <c r="C299" s="6" t="s">
        <v>242</v>
      </c>
      <c r="D299" s="7" t="s">
        <v>30</v>
      </c>
      <c r="E299" s="7" t="s">
        <v>17</v>
      </c>
      <c r="F299" s="7" t="s">
        <v>18</v>
      </c>
      <c r="G299" s="7" t="s">
        <v>44</v>
      </c>
      <c r="H299" s="7" t="s">
        <v>20</v>
      </c>
      <c r="I299" s="7" t="s">
        <v>113</v>
      </c>
      <c r="J299" s="7">
        <v>11</v>
      </c>
      <c r="K299" s="24">
        <v>477.43</v>
      </c>
      <c r="L299" s="8">
        <v>0.1</v>
      </c>
      <c r="M299" s="20">
        <v>297.68</v>
      </c>
      <c r="N299" s="21">
        <f>(Table1[[#This Row],[Quantity]]*Table1[[#This Row],[Unit Price]])*(1-Table1[[#This Row],[Discount]])</f>
        <v>4726.5570000000007</v>
      </c>
      <c r="O299" s="21">
        <f>(Table1[[#This Row],[Unit Price]]-Table1[[#This Row],[Unit Cost]])*Table1[[#This Row],[Quantity]]</f>
        <v>1977.25</v>
      </c>
      <c r="P299" s="9" t="str">
        <f t="shared" si="4"/>
        <v>Standard</v>
      </c>
      <c r="Q299" s="9" t="str">
        <f>IF(Table1[[#This Row],[Discount]]&gt;=15%,"HIGH",IF(Table1[[#This Row],[Discount]]&gt;=55,"MEDIUM","NONE"))</f>
        <v>NONE</v>
      </c>
      <c r="R299" s="9">
        <f>Table1[[#This Row],[Ship Date]]-Table1[[#This Row],[Order Date]]</f>
        <v>3</v>
      </c>
      <c r="S299" s="9">
        <f>VLOOKUP(Table1[[#This Row],[Region]],Table2[],2,FALSE)</f>
        <v>140000</v>
      </c>
      <c r="T299" s="9">
        <f>INDEX(Table2[Quarterly Target],MATCH(Table1[[#This Row],[Region]],Table2[[Region ]],0))</f>
        <v>140000</v>
      </c>
      <c r="U299" s="9">
        <f>RANK(Table1[[#This Row],[Sales]],Table1[Sales])</f>
        <v>97</v>
      </c>
      <c r="V299" s="21">
        <f>SUM(N$2:N300)</f>
        <v>879799.39550000057</v>
      </c>
    </row>
    <row r="300" spans="1:22" x14ac:dyDescent="0.25">
      <c r="A300" s="5" t="s">
        <v>723</v>
      </c>
      <c r="B300" s="6" t="s">
        <v>679</v>
      </c>
      <c r="C300" s="6" t="s">
        <v>679</v>
      </c>
      <c r="D300" s="7" t="s">
        <v>24</v>
      </c>
      <c r="E300" s="7" t="s">
        <v>71</v>
      </c>
      <c r="F300" s="7" t="s">
        <v>25</v>
      </c>
      <c r="G300" s="7" t="s">
        <v>67</v>
      </c>
      <c r="H300" s="7" t="s">
        <v>20</v>
      </c>
      <c r="I300" s="7" t="s">
        <v>139</v>
      </c>
      <c r="J300" s="7">
        <v>13</v>
      </c>
      <c r="K300" s="24">
        <v>659.31</v>
      </c>
      <c r="L300" s="8">
        <v>0.05</v>
      </c>
      <c r="M300" s="20">
        <v>371.53</v>
      </c>
      <c r="N300" s="21">
        <f>(Table1[[#This Row],[Quantity]]*Table1[[#This Row],[Unit Price]])*(1-Table1[[#This Row],[Discount]])</f>
        <v>8142.4784999999983</v>
      </c>
      <c r="O300" s="21">
        <f>(Table1[[#This Row],[Unit Price]]-Table1[[#This Row],[Unit Cost]])*Table1[[#This Row],[Quantity]]</f>
        <v>3741.1399999999994</v>
      </c>
      <c r="P300" s="9" t="str">
        <f t="shared" si="4"/>
        <v>Bulk</v>
      </c>
      <c r="Q300" s="9" t="str">
        <f>IF(Table1[[#This Row],[Discount]]&gt;=15%,"HIGH",IF(Table1[[#This Row],[Discount]]&gt;=55,"MEDIUM","NONE"))</f>
        <v>NONE</v>
      </c>
      <c r="R300" s="9">
        <f>Table1[[#This Row],[Ship Date]]-Table1[[#This Row],[Order Date]]</f>
        <v>0</v>
      </c>
      <c r="S300" s="9">
        <f>VLOOKUP(Table1[[#This Row],[Region]],Table2[],2,FALSE)</f>
        <v>130000</v>
      </c>
      <c r="T300" s="9">
        <f>INDEX(Table2[Quarterly Target],MATCH(Table1[[#This Row],[Region]],Table2[[Region ]],0))</f>
        <v>130000</v>
      </c>
      <c r="U300" s="9">
        <f>RANK(Table1[[#This Row],[Sales]],Table1[Sales])</f>
        <v>60</v>
      </c>
      <c r="V300" s="21">
        <f>SUM(N$2:N301)</f>
        <v>880002.94550000061</v>
      </c>
    </row>
    <row r="301" spans="1:22" x14ac:dyDescent="0.25">
      <c r="A301" s="5" t="s">
        <v>724</v>
      </c>
      <c r="B301" s="6" t="s">
        <v>725</v>
      </c>
      <c r="C301" s="6" t="s">
        <v>437</v>
      </c>
      <c r="D301" s="7" t="s">
        <v>30</v>
      </c>
      <c r="E301" s="7" t="s">
        <v>75</v>
      </c>
      <c r="F301" s="7" t="s">
        <v>38</v>
      </c>
      <c r="G301" s="7" t="s">
        <v>50</v>
      </c>
      <c r="H301" s="7" t="s">
        <v>33</v>
      </c>
      <c r="I301" s="7" t="s">
        <v>76</v>
      </c>
      <c r="J301" s="7">
        <v>23</v>
      </c>
      <c r="K301" s="24">
        <v>8.85</v>
      </c>
      <c r="L301" s="8">
        <v>0</v>
      </c>
      <c r="M301" s="20">
        <v>5.95</v>
      </c>
      <c r="N301" s="21">
        <f>(Table1[[#This Row],[Quantity]]*Table1[[#This Row],[Unit Price]])*(1-Table1[[#This Row],[Discount]])</f>
        <v>203.54999999999998</v>
      </c>
      <c r="O301" s="21">
        <f>(Table1[[#This Row],[Unit Price]]-Table1[[#This Row],[Unit Cost]])*Table1[[#This Row],[Quantity]]</f>
        <v>66.699999999999989</v>
      </c>
      <c r="P301" s="9" t="str">
        <f t="shared" si="4"/>
        <v>Bulk</v>
      </c>
      <c r="Q301" s="9" t="str">
        <f>IF(Table1[[#This Row],[Discount]]&gt;=15%,"HIGH",IF(Table1[[#This Row],[Discount]]&gt;=55,"MEDIUM","NONE"))</f>
        <v>NONE</v>
      </c>
      <c r="R301" s="9">
        <f>Table1[[#This Row],[Ship Date]]-Table1[[#This Row],[Order Date]]</f>
        <v>3</v>
      </c>
      <c r="S301" s="9">
        <f>VLOOKUP(Table1[[#This Row],[Region]],Table2[],2,FALSE)</f>
        <v>120000</v>
      </c>
      <c r="T301" s="9">
        <f>INDEX(Table2[Quarterly Target],MATCH(Table1[[#This Row],[Region]],Table2[[Region ]],0))</f>
        <v>120000</v>
      </c>
      <c r="U301" s="9">
        <f>RANK(Table1[[#This Row],[Sales]],Table1[Sales])</f>
        <v>311</v>
      </c>
      <c r="V301" s="21">
        <f>SUM(N$2:N302)</f>
        <v>896774.2835000006</v>
      </c>
    </row>
    <row r="302" spans="1:22" x14ac:dyDescent="0.25">
      <c r="A302" s="5" t="s">
        <v>726</v>
      </c>
      <c r="B302" s="6" t="s">
        <v>386</v>
      </c>
      <c r="C302" s="6" t="s">
        <v>672</v>
      </c>
      <c r="D302" s="7" t="s">
        <v>16</v>
      </c>
      <c r="E302" s="7" t="s">
        <v>37</v>
      </c>
      <c r="F302" s="7" t="s">
        <v>60</v>
      </c>
      <c r="G302" s="7" t="s">
        <v>19</v>
      </c>
      <c r="H302" s="7" t="s">
        <v>20</v>
      </c>
      <c r="I302" s="7" t="s">
        <v>21</v>
      </c>
      <c r="J302" s="7">
        <v>19</v>
      </c>
      <c r="K302" s="24">
        <v>929.16</v>
      </c>
      <c r="L302" s="8">
        <v>0.05</v>
      </c>
      <c r="M302" s="20">
        <v>693.43</v>
      </c>
      <c r="N302" s="21">
        <f>(Table1[[#This Row],[Quantity]]*Table1[[#This Row],[Unit Price]])*(1-Table1[[#This Row],[Discount]])</f>
        <v>16771.338</v>
      </c>
      <c r="O302" s="21">
        <f>(Table1[[#This Row],[Unit Price]]-Table1[[#This Row],[Unit Cost]])*Table1[[#This Row],[Quantity]]</f>
        <v>4478.8700000000008</v>
      </c>
      <c r="P302" s="9" t="str">
        <f t="shared" si="4"/>
        <v>Bulk</v>
      </c>
      <c r="Q302" s="9" t="str">
        <f>IF(Table1[[#This Row],[Discount]]&gt;=15%,"HIGH",IF(Table1[[#This Row],[Discount]]&gt;=55,"MEDIUM","NONE"))</f>
        <v>NONE</v>
      </c>
      <c r="R302" s="9">
        <f>Table1[[#This Row],[Ship Date]]-Table1[[#This Row],[Order Date]]</f>
        <v>4</v>
      </c>
      <c r="S302" s="9">
        <f>VLOOKUP(Table1[[#This Row],[Region]],Table2[],2,FALSE)</f>
        <v>160000</v>
      </c>
      <c r="T302" s="9">
        <f>INDEX(Table2[Quarterly Target],MATCH(Table1[[#This Row],[Region]],Table2[[Region ]],0))</f>
        <v>160000</v>
      </c>
      <c r="U302" s="9">
        <f>RANK(Table1[[#This Row],[Sales]],Table1[Sales])</f>
        <v>7</v>
      </c>
      <c r="V302" s="21">
        <f>SUM(N$2:N303)</f>
        <v>896787.30350000062</v>
      </c>
    </row>
    <row r="303" spans="1:22" x14ac:dyDescent="0.25">
      <c r="A303" s="5" t="s">
        <v>727</v>
      </c>
      <c r="B303" s="6" t="s">
        <v>728</v>
      </c>
      <c r="C303" s="6" t="s">
        <v>264</v>
      </c>
      <c r="D303" s="7" t="s">
        <v>30</v>
      </c>
      <c r="E303" s="7" t="s">
        <v>31</v>
      </c>
      <c r="F303" s="7" t="s">
        <v>60</v>
      </c>
      <c r="G303" s="7" t="s">
        <v>82</v>
      </c>
      <c r="H303" s="7" t="s">
        <v>61</v>
      </c>
      <c r="I303" s="7" t="s">
        <v>62</v>
      </c>
      <c r="J303" s="7">
        <v>1</v>
      </c>
      <c r="K303" s="24">
        <v>13.02</v>
      </c>
      <c r="L303" s="8">
        <v>0</v>
      </c>
      <c r="M303" s="20">
        <v>9.5399999999999991</v>
      </c>
      <c r="N303" s="21">
        <f>(Table1[[#This Row],[Quantity]]*Table1[[#This Row],[Unit Price]])*(1-Table1[[#This Row],[Discount]])</f>
        <v>13.02</v>
      </c>
      <c r="O303" s="21">
        <f>(Table1[[#This Row],[Unit Price]]-Table1[[#This Row],[Unit Cost]])*Table1[[#This Row],[Quantity]]</f>
        <v>3.4800000000000004</v>
      </c>
      <c r="P303" s="9" t="str">
        <f t="shared" si="4"/>
        <v>Bulk</v>
      </c>
      <c r="Q303" s="9" t="str">
        <f>IF(Table1[[#This Row],[Discount]]&gt;=15%,"HIGH",IF(Table1[[#This Row],[Discount]]&gt;=55,"MEDIUM","NONE"))</f>
        <v>NONE</v>
      </c>
      <c r="R303" s="9">
        <f>Table1[[#This Row],[Ship Date]]-Table1[[#This Row],[Order Date]]</f>
        <v>3</v>
      </c>
      <c r="S303" s="9">
        <f>VLOOKUP(Table1[[#This Row],[Region]],Table2[],2,FALSE)</f>
        <v>160000</v>
      </c>
      <c r="T303" s="9">
        <f>INDEX(Table2[Quarterly Target],MATCH(Table1[[#This Row],[Region]],Table2[[Region ]],0))</f>
        <v>160000</v>
      </c>
      <c r="U303" s="9">
        <f>RANK(Table1[[#This Row],[Sales]],Table1[Sales])</f>
        <v>396</v>
      </c>
      <c r="V303" s="21">
        <f>SUM(N$2:N304)</f>
        <v>900278.70350000064</v>
      </c>
    </row>
    <row r="304" spans="1:22" x14ac:dyDescent="0.25">
      <c r="A304" s="5" t="s">
        <v>729</v>
      </c>
      <c r="B304" s="6" t="s">
        <v>730</v>
      </c>
      <c r="C304" s="6" t="s">
        <v>730</v>
      </c>
      <c r="D304" s="7" t="s">
        <v>24</v>
      </c>
      <c r="E304" s="7" t="s">
        <v>17</v>
      </c>
      <c r="F304" s="7" t="s">
        <v>43</v>
      </c>
      <c r="G304" s="7" t="s">
        <v>19</v>
      </c>
      <c r="H304" s="7" t="s">
        <v>45</v>
      </c>
      <c r="I304" s="7" t="s">
        <v>46</v>
      </c>
      <c r="J304" s="7">
        <v>12</v>
      </c>
      <c r="K304" s="24">
        <v>290.95</v>
      </c>
      <c r="L304" s="8">
        <v>0</v>
      </c>
      <c r="M304" s="20">
        <v>187.92</v>
      </c>
      <c r="N304" s="21">
        <f>(Table1[[#This Row],[Quantity]]*Table1[[#This Row],[Unit Price]])*(1-Table1[[#This Row],[Discount]])</f>
        <v>3491.3999999999996</v>
      </c>
      <c r="O304" s="21">
        <f>(Table1[[#This Row],[Unit Price]]-Table1[[#This Row],[Unit Cost]])*Table1[[#This Row],[Quantity]]</f>
        <v>1236.3600000000001</v>
      </c>
      <c r="P304" s="9" t="str">
        <f t="shared" si="4"/>
        <v>Standard</v>
      </c>
      <c r="Q304" s="9" t="str">
        <f>IF(Table1[[#This Row],[Discount]]&gt;=15%,"HIGH",IF(Table1[[#This Row],[Discount]]&gt;=55,"MEDIUM","NONE"))</f>
        <v>NONE</v>
      </c>
      <c r="R304" s="9">
        <f>Table1[[#This Row],[Ship Date]]-Table1[[#This Row],[Order Date]]</f>
        <v>0</v>
      </c>
      <c r="S304" s="9">
        <f>VLOOKUP(Table1[[#This Row],[Region]],Table2[],2,FALSE)</f>
        <v>150000</v>
      </c>
      <c r="T304" s="9">
        <f>INDEX(Table2[Quarterly Target],MATCH(Table1[[#This Row],[Region]],Table2[[Region ]],0))</f>
        <v>150000</v>
      </c>
      <c r="U304" s="9">
        <f>RANK(Table1[[#This Row],[Sales]],Table1[Sales])</f>
        <v>113</v>
      </c>
      <c r="V304" s="21">
        <f>SUM(N$2:N305)</f>
        <v>926564.08350000065</v>
      </c>
    </row>
    <row r="305" spans="1:22" x14ac:dyDescent="0.25">
      <c r="A305" s="5" t="s">
        <v>731</v>
      </c>
      <c r="B305" s="6" t="s">
        <v>81</v>
      </c>
      <c r="C305" s="6" t="s">
        <v>379</v>
      </c>
      <c r="D305" s="7" t="s">
        <v>30</v>
      </c>
      <c r="E305" s="7" t="s">
        <v>75</v>
      </c>
      <c r="F305" s="7" t="s">
        <v>18</v>
      </c>
      <c r="G305" s="7" t="s">
        <v>32</v>
      </c>
      <c r="H305" s="7" t="s">
        <v>20</v>
      </c>
      <c r="I305" s="7" t="s">
        <v>134</v>
      </c>
      <c r="J305" s="7">
        <v>22</v>
      </c>
      <c r="K305" s="24">
        <v>1194.79</v>
      </c>
      <c r="L305" s="8">
        <v>0</v>
      </c>
      <c r="M305" s="20">
        <v>954.68</v>
      </c>
      <c r="N305" s="21">
        <f>(Table1[[#This Row],[Quantity]]*Table1[[#This Row],[Unit Price]])*(1-Table1[[#This Row],[Discount]])</f>
        <v>26285.379999999997</v>
      </c>
      <c r="O305" s="21">
        <f>(Table1[[#This Row],[Unit Price]]-Table1[[#This Row],[Unit Cost]])*Table1[[#This Row],[Quantity]]</f>
        <v>5282.42</v>
      </c>
      <c r="P305" s="9" t="str">
        <f t="shared" si="4"/>
        <v>Bulk</v>
      </c>
      <c r="Q305" s="9" t="str">
        <f>IF(Table1[[#This Row],[Discount]]&gt;=15%,"HIGH",IF(Table1[[#This Row],[Discount]]&gt;=55,"MEDIUM","NONE"))</f>
        <v>NONE</v>
      </c>
      <c r="R305" s="9">
        <f>Table1[[#This Row],[Ship Date]]-Table1[[#This Row],[Order Date]]</f>
        <v>3</v>
      </c>
      <c r="S305" s="9">
        <f>VLOOKUP(Table1[[#This Row],[Region]],Table2[],2,FALSE)</f>
        <v>140000</v>
      </c>
      <c r="T305" s="9">
        <f>INDEX(Table2[Quarterly Target],MATCH(Table1[[#This Row],[Region]],Table2[[Region ]],0))</f>
        <v>140000</v>
      </c>
      <c r="U305" s="9">
        <f>RANK(Table1[[#This Row],[Sales]],Table1[Sales])</f>
        <v>1</v>
      </c>
      <c r="V305" s="21">
        <f>SUM(N$2:N306)</f>
        <v>927645.48350000067</v>
      </c>
    </row>
    <row r="306" spans="1:22" x14ac:dyDescent="0.25">
      <c r="A306" s="5" t="s">
        <v>732</v>
      </c>
      <c r="B306" s="6" t="s">
        <v>733</v>
      </c>
      <c r="C306" s="6" t="s">
        <v>733</v>
      </c>
      <c r="D306" s="7" t="s">
        <v>24</v>
      </c>
      <c r="E306" s="7" t="s">
        <v>17</v>
      </c>
      <c r="F306" s="7" t="s">
        <v>43</v>
      </c>
      <c r="G306" s="7" t="s">
        <v>19</v>
      </c>
      <c r="H306" s="7" t="s">
        <v>45</v>
      </c>
      <c r="I306" s="7" t="s">
        <v>143</v>
      </c>
      <c r="J306" s="7">
        <v>5</v>
      </c>
      <c r="K306" s="24">
        <v>216.28</v>
      </c>
      <c r="L306" s="8">
        <v>0</v>
      </c>
      <c r="M306" s="20">
        <v>150.84</v>
      </c>
      <c r="N306" s="21">
        <f>(Table1[[#This Row],[Quantity]]*Table1[[#This Row],[Unit Price]])*(1-Table1[[#This Row],[Discount]])</f>
        <v>1081.4000000000001</v>
      </c>
      <c r="O306" s="21">
        <f>(Table1[[#This Row],[Unit Price]]-Table1[[#This Row],[Unit Cost]])*Table1[[#This Row],[Quantity]]</f>
        <v>327.2</v>
      </c>
      <c r="P306" s="9" t="str">
        <f t="shared" si="4"/>
        <v>Bulk</v>
      </c>
      <c r="Q306" s="9" t="str">
        <f>IF(Table1[[#This Row],[Discount]]&gt;=15%,"HIGH",IF(Table1[[#This Row],[Discount]]&gt;=55,"MEDIUM","NONE"))</f>
        <v>NONE</v>
      </c>
      <c r="R306" s="9">
        <f>Table1[[#This Row],[Ship Date]]-Table1[[#This Row],[Order Date]]</f>
        <v>0</v>
      </c>
      <c r="S306" s="9">
        <f>VLOOKUP(Table1[[#This Row],[Region]],Table2[],2,FALSE)</f>
        <v>150000</v>
      </c>
      <c r="T306" s="9">
        <f>INDEX(Table2[Quarterly Target],MATCH(Table1[[#This Row],[Region]],Table2[[Region ]],0))</f>
        <v>150000</v>
      </c>
      <c r="U306" s="9">
        <f>RANK(Table1[[#This Row],[Sales]],Table1[Sales])</f>
        <v>174</v>
      </c>
      <c r="V306" s="21">
        <f>SUM(N$2:N307)</f>
        <v>929024.64250000066</v>
      </c>
    </row>
    <row r="307" spans="1:22" x14ac:dyDescent="0.25">
      <c r="A307" s="5" t="s">
        <v>734</v>
      </c>
      <c r="B307" s="6" t="s">
        <v>735</v>
      </c>
      <c r="C307" s="6" t="s">
        <v>735</v>
      </c>
      <c r="D307" s="7" t="s">
        <v>24</v>
      </c>
      <c r="E307" s="7" t="s">
        <v>122</v>
      </c>
      <c r="F307" s="7" t="s">
        <v>18</v>
      </c>
      <c r="G307" s="7" t="s">
        <v>26</v>
      </c>
      <c r="H307" s="7" t="s">
        <v>20</v>
      </c>
      <c r="I307" s="7" t="s">
        <v>139</v>
      </c>
      <c r="J307" s="7">
        <v>2</v>
      </c>
      <c r="K307" s="24">
        <v>811.27</v>
      </c>
      <c r="L307" s="8">
        <v>0.15</v>
      </c>
      <c r="M307" s="20">
        <v>615.78</v>
      </c>
      <c r="N307" s="21">
        <f>(Table1[[#This Row],[Quantity]]*Table1[[#This Row],[Unit Price]])*(1-Table1[[#This Row],[Discount]])</f>
        <v>1379.1589999999999</v>
      </c>
      <c r="O307" s="21">
        <f>(Table1[[#This Row],[Unit Price]]-Table1[[#This Row],[Unit Cost]])*Table1[[#This Row],[Quantity]]</f>
        <v>390.98</v>
      </c>
      <c r="P307" s="9" t="str">
        <f t="shared" si="4"/>
        <v>Standard</v>
      </c>
      <c r="Q307" s="9" t="str">
        <f>IF(Table1[[#This Row],[Discount]]&gt;=15%,"HIGH",IF(Table1[[#This Row],[Discount]]&gt;=55,"MEDIUM","NONE"))</f>
        <v>HIGH</v>
      </c>
      <c r="R307" s="9">
        <f>Table1[[#This Row],[Ship Date]]-Table1[[#This Row],[Order Date]]</f>
        <v>0</v>
      </c>
      <c r="S307" s="9">
        <f>VLOOKUP(Table1[[#This Row],[Region]],Table2[],2,FALSE)</f>
        <v>140000</v>
      </c>
      <c r="T307" s="9">
        <f>INDEX(Table2[Quarterly Target],MATCH(Table1[[#This Row],[Region]],Table2[[Region ]],0))</f>
        <v>140000</v>
      </c>
      <c r="U307" s="9">
        <f>RANK(Table1[[#This Row],[Sales]],Table1[Sales])</f>
        <v>155</v>
      </c>
      <c r="V307" s="21">
        <f>SUM(N$2:N308)</f>
        <v>929459.6300000007</v>
      </c>
    </row>
    <row r="308" spans="1:22" x14ac:dyDescent="0.25">
      <c r="A308" s="5" t="s">
        <v>736</v>
      </c>
      <c r="B308" s="6" t="s">
        <v>737</v>
      </c>
      <c r="C308" s="6" t="s">
        <v>115</v>
      </c>
      <c r="D308" s="7" t="s">
        <v>30</v>
      </c>
      <c r="E308" s="7" t="s">
        <v>122</v>
      </c>
      <c r="F308" s="7" t="s">
        <v>43</v>
      </c>
      <c r="G308" s="7" t="s">
        <v>44</v>
      </c>
      <c r="H308" s="7" t="s">
        <v>61</v>
      </c>
      <c r="I308" s="7" t="s">
        <v>62</v>
      </c>
      <c r="J308" s="7">
        <v>23</v>
      </c>
      <c r="K308" s="24">
        <v>22.25</v>
      </c>
      <c r="L308" s="8">
        <v>0.15</v>
      </c>
      <c r="M308" s="20">
        <v>16.05</v>
      </c>
      <c r="N308" s="21">
        <f>(Table1[[#This Row],[Quantity]]*Table1[[#This Row],[Unit Price]])*(1-Table1[[#This Row],[Discount]])</f>
        <v>434.98750000000001</v>
      </c>
      <c r="O308" s="21">
        <f>(Table1[[#This Row],[Unit Price]]-Table1[[#This Row],[Unit Cost]])*Table1[[#This Row],[Quantity]]</f>
        <v>142.6</v>
      </c>
      <c r="P308" s="9" t="str">
        <f t="shared" si="4"/>
        <v>Standard</v>
      </c>
      <c r="Q308" s="9" t="str">
        <f>IF(Table1[[#This Row],[Discount]]&gt;=15%,"HIGH",IF(Table1[[#This Row],[Discount]]&gt;=55,"MEDIUM","NONE"))</f>
        <v>HIGH</v>
      </c>
      <c r="R308" s="9">
        <f>Table1[[#This Row],[Ship Date]]-Table1[[#This Row],[Order Date]]</f>
        <v>3</v>
      </c>
      <c r="S308" s="9">
        <f>VLOOKUP(Table1[[#This Row],[Region]],Table2[],2,FALSE)</f>
        <v>150000</v>
      </c>
      <c r="T308" s="9">
        <f>INDEX(Table2[Quarterly Target],MATCH(Table1[[#This Row],[Region]],Table2[[Region ]],0))</f>
        <v>150000</v>
      </c>
      <c r="U308" s="9">
        <f>RANK(Table1[[#This Row],[Sales]],Table1[Sales])</f>
        <v>238</v>
      </c>
      <c r="V308" s="21">
        <f>SUM(N$2:N309)</f>
        <v>931757.58200000075</v>
      </c>
    </row>
    <row r="309" spans="1:22" x14ac:dyDescent="0.25">
      <c r="A309" s="5" t="s">
        <v>738</v>
      </c>
      <c r="B309" s="6" t="s">
        <v>739</v>
      </c>
      <c r="C309" s="6" t="s">
        <v>740</v>
      </c>
      <c r="D309" s="7" t="s">
        <v>30</v>
      </c>
      <c r="E309" s="7" t="s">
        <v>37</v>
      </c>
      <c r="F309" s="7" t="s">
        <v>38</v>
      </c>
      <c r="G309" s="7" t="s">
        <v>50</v>
      </c>
      <c r="H309" s="7" t="s">
        <v>20</v>
      </c>
      <c r="I309" s="7" t="s">
        <v>151</v>
      </c>
      <c r="J309" s="7">
        <v>4</v>
      </c>
      <c r="K309" s="24">
        <v>638.32000000000005</v>
      </c>
      <c r="L309" s="8">
        <v>0.1</v>
      </c>
      <c r="M309" s="20">
        <v>369.86</v>
      </c>
      <c r="N309" s="21">
        <f>(Table1[[#This Row],[Quantity]]*Table1[[#This Row],[Unit Price]])*(1-Table1[[#This Row],[Discount]])</f>
        <v>2297.9520000000002</v>
      </c>
      <c r="O309" s="21">
        <f>(Table1[[#This Row],[Unit Price]]-Table1[[#This Row],[Unit Cost]])*Table1[[#This Row],[Quantity]]</f>
        <v>1073.8400000000001</v>
      </c>
      <c r="P309" s="9" t="str">
        <f t="shared" si="4"/>
        <v>Bulk</v>
      </c>
      <c r="Q309" s="9" t="str">
        <f>IF(Table1[[#This Row],[Discount]]&gt;=15%,"HIGH",IF(Table1[[#This Row],[Discount]]&gt;=55,"MEDIUM","NONE"))</f>
        <v>NONE</v>
      </c>
      <c r="R309" s="9">
        <f>Table1[[#This Row],[Ship Date]]-Table1[[#This Row],[Order Date]]</f>
        <v>2</v>
      </c>
      <c r="S309" s="9">
        <f>VLOOKUP(Table1[[#This Row],[Region]],Table2[],2,FALSE)</f>
        <v>120000</v>
      </c>
      <c r="T309" s="9">
        <f>INDEX(Table2[Quarterly Target],MATCH(Table1[[#This Row],[Region]],Table2[[Region ]],0))</f>
        <v>120000</v>
      </c>
      <c r="U309" s="9">
        <f>RANK(Table1[[#This Row],[Sales]],Table1[Sales])</f>
        <v>133</v>
      </c>
      <c r="V309" s="21">
        <f>SUM(N$2:N310)</f>
        <v>940111.64200000081</v>
      </c>
    </row>
    <row r="310" spans="1:22" x14ac:dyDescent="0.25">
      <c r="A310" s="5" t="s">
        <v>741</v>
      </c>
      <c r="B310" s="6" t="s">
        <v>742</v>
      </c>
      <c r="C310" s="6" t="s">
        <v>743</v>
      </c>
      <c r="D310" s="7" t="s">
        <v>30</v>
      </c>
      <c r="E310" s="7" t="s">
        <v>37</v>
      </c>
      <c r="F310" s="7" t="s">
        <v>25</v>
      </c>
      <c r="G310" s="7" t="s">
        <v>19</v>
      </c>
      <c r="H310" s="7" t="s">
        <v>45</v>
      </c>
      <c r="I310" s="7" t="s">
        <v>83</v>
      </c>
      <c r="J310" s="7">
        <v>23</v>
      </c>
      <c r="K310" s="24">
        <v>363.22</v>
      </c>
      <c r="L310" s="8">
        <v>0</v>
      </c>
      <c r="M310" s="20">
        <v>203.35</v>
      </c>
      <c r="N310" s="21">
        <f>(Table1[[#This Row],[Quantity]]*Table1[[#This Row],[Unit Price]])*(1-Table1[[#This Row],[Discount]])</f>
        <v>8354.0600000000013</v>
      </c>
      <c r="O310" s="21">
        <f>(Table1[[#This Row],[Unit Price]]-Table1[[#This Row],[Unit Cost]])*Table1[[#This Row],[Quantity]]</f>
        <v>3677.0100000000007</v>
      </c>
      <c r="P310" s="9" t="str">
        <f t="shared" si="4"/>
        <v>Standard</v>
      </c>
      <c r="Q310" s="9" t="str">
        <f>IF(Table1[[#This Row],[Discount]]&gt;=15%,"HIGH",IF(Table1[[#This Row],[Discount]]&gt;=55,"MEDIUM","NONE"))</f>
        <v>NONE</v>
      </c>
      <c r="R310" s="9">
        <f>Table1[[#This Row],[Ship Date]]-Table1[[#This Row],[Order Date]]</f>
        <v>2</v>
      </c>
      <c r="S310" s="9">
        <f>VLOOKUP(Table1[[#This Row],[Region]],Table2[],2,FALSE)</f>
        <v>130000</v>
      </c>
      <c r="T310" s="9">
        <f>INDEX(Table2[Quarterly Target],MATCH(Table1[[#This Row],[Region]],Table2[[Region ]],0))</f>
        <v>130000</v>
      </c>
      <c r="U310" s="9">
        <f>RANK(Table1[[#This Row],[Sales]],Table1[Sales])</f>
        <v>57</v>
      </c>
      <c r="V310" s="21">
        <f>SUM(N$2:N311)</f>
        <v>940309.7620000008</v>
      </c>
    </row>
    <row r="311" spans="1:22" x14ac:dyDescent="0.25">
      <c r="A311" s="5" t="s">
        <v>744</v>
      </c>
      <c r="B311" s="6" t="s">
        <v>745</v>
      </c>
      <c r="C311" s="6" t="s">
        <v>745</v>
      </c>
      <c r="D311" s="7" t="s">
        <v>24</v>
      </c>
      <c r="E311" s="7" t="s">
        <v>91</v>
      </c>
      <c r="F311" s="7" t="s">
        <v>25</v>
      </c>
      <c r="G311" s="7" t="s">
        <v>26</v>
      </c>
      <c r="H311" s="7" t="s">
        <v>61</v>
      </c>
      <c r="I311" s="7" t="s">
        <v>169</v>
      </c>
      <c r="J311" s="7">
        <v>3</v>
      </c>
      <c r="K311" s="24">
        <v>82.55</v>
      </c>
      <c r="L311" s="8">
        <v>0.2</v>
      </c>
      <c r="M311" s="20">
        <v>57.25</v>
      </c>
      <c r="N311" s="21">
        <f>(Table1[[#This Row],[Quantity]]*Table1[[#This Row],[Unit Price]])*(1-Table1[[#This Row],[Discount]])</f>
        <v>198.12</v>
      </c>
      <c r="O311" s="21">
        <f>(Table1[[#This Row],[Unit Price]]-Table1[[#This Row],[Unit Cost]])*Table1[[#This Row],[Quantity]]</f>
        <v>75.899999999999991</v>
      </c>
      <c r="P311" s="9" t="str">
        <f t="shared" si="4"/>
        <v>Bulk</v>
      </c>
      <c r="Q311" s="9" t="str">
        <f>IF(Table1[[#This Row],[Discount]]&gt;=15%,"HIGH",IF(Table1[[#This Row],[Discount]]&gt;=55,"MEDIUM","NONE"))</f>
        <v>HIGH</v>
      </c>
      <c r="R311" s="9">
        <f>Table1[[#This Row],[Ship Date]]-Table1[[#This Row],[Order Date]]</f>
        <v>0</v>
      </c>
      <c r="S311" s="9">
        <f>VLOOKUP(Table1[[#This Row],[Region]],Table2[],2,FALSE)</f>
        <v>130000</v>
      </c>
      <c r="T311" s="9">
        <f>INDEX(Table2[Quarterly Target],MATCH(Table1[[#This Row],[Region]],Table2[[Region ]],0))</f>
        <v>130000</v>
      </c>
      <c r="U311" s="9">
        <f>RANK(Table1[[#This Row],[Sales]],Table1[Sales])</f>
        <v>314</v>
      </c>
      <c r="V311" s="21">
        <f>SUM(N$2:N312)</f>
        <v>943847.16200000083</v>
      </c>
    </row>
    <row r="312" spans="1:22" x14ac:dyDescent="0.25">
      <c r="A312" s="5" t="s">
        <v>746</v>
      </c>
      <c r="B312" s="6" t="s">
        <v>280</v>
      </c>
      <c r="C312" s="6" t="s">
        <v>648</v>
      </c>
      <c r="D312" s="7" t="s">
        <v>30</v>
      </c>
      <c r="E312" s="7" t="s">
        <v>37</v>
      </c>
      <c r="F312" s="7" t="s">
        <v>43</v>
      </c>
      <c r="G312" s="7" t="s">
        <v>19</v>
      </c>
      <c r="H312" s="7" t="s">
        <v>20</v>
      </c>
      <c r="I312" s="7" t="s">
        <v>151</v>
      </c>
      <c r="J312" s="7">
        <v>10</v>
      </c>
      <c r="K312" s="24">
        <v>353.74</v>
      </c>
      <c r="L312" s="8">
        <v>0</v>
      </c>
      <c r="M312" s="20">
        <v>203.38</v>
      </c>
      <c r="N312" s="21">
        <f>(Table1[[#This Row],[Quantity]]*Table1[[#This Row],[Unit Price]])*(1-Table1[[#This Row],[Discount]])</f>
        <v>3537.4</v>
      </c>
      <c r="O312" s="21">
        <f>(Table1[[#This Row],[Unit Price]]-Table1[[#This Row],[Unit Cost]])*Table1[[#This Row],[Quantity]]</f>
        <v>1503.6000000000001</v>
      </c>
      <c r="P312" s="9" t="str">
        <f t="shared" si="4"/>
        <v>Standard</v>
      </c>
      <c r="Q312" s="9" t="str">
        <f>IF(Table1[[#This Row],[Discount]]&gt;=15%,"HIGH",IF(Table1[[#This Row],[Discount]]&gt;=55,"MEDIUM","NONE"))</f>
        <v>NONE</v>
      </c>
      <c r="R312" s="9">
        <f>Table1[[#This Row],[Ship Date]]-Table1[[#This Row],[Order Date]]</f>
        <v>2</v>
      </c>
      <c r="S312" s="9">
        <f>VLOOKUP(Table1[[#This Row],[Region]],Table2[],2,FALSE)</f>
        <v>150000</v>
      </c>
      <c r="T312" s="9">
        <f>INDEX(Table2[Quarterly Target],MATCH(Table1[[#This Row],[Region]],Table2[[Region ]],0))</f>
        <v>150000</v>
      </c>
      <c r="U312" s="9">
        <f>RANK(Table1[[#This Row],[Sales]],Table1[Sales])</f>
        <v>111</v>
      </c>
      <c r="V312" s="21">
        <f>SUM(N$2:N313)</f>
        <v>943876.38500000082</v>
      </c>
    </row>
    <row r="313" spans="1:22" x14ac:dyDescent="0.25">
      <c r="A313" s="5" t="s">
        <v>747</v>
      </c>
      <c r="B313" s="6" t="s">
        <v>748</v>
      </c>
      <c r="C313" s="6" t="s">
        <v>749</v>
      </c>
      <c r="D313" s="7" t="s">
        <v>16</v>
      </c>
      <c r="E313" s="7" t="s">
        <v>96</v>
      </c>
      <c r="F313" s="7" t="s">
        <v>60</v>
      </c>
      <c r="G313" s="7" t="s">
        <v>67</v>
      </c>
      <c r="H313" s="7" t="s">
        <v>33</v>
      </c>
      <c r="I313" s="7" t="s">
        <v>39</v>
      </c>
      <c r="J313" s="7">
        <v>1</v>
      </c>
      <c r="K313" s="24">
        <v>34.380000000000003</v>
      </c>
      <c r="L313" s="8">
        <v>0.15</v>
      </c>
      <c r="M313" s="20">
        <v>24.47</v>
      </c>
      <c r="N313" s="21">
        <f>(Table1[[#This Row],[Quantity]]*Table1[[#This Row],[Unit Price]])*(1-Table1[[#This Row],[Discount]])</f>
        <v>29.223000000000003</v>
      </c>
      <c r="O313" s="21">
        <f>(Table1[[#This Row],[Unit Price]]-Table1[[#This Row],[Unit Cost]])*Table1[[#This Row],[Quantity]]</f>
        <v>9.9100000000000037</v>
      </c>
      <c r="P313" s="9" t="str">
        <f t="shared" si="4"/>
        <v>Standard</v>
      </c>
      <c r="Q313" s="9" t="str">
        <f>IF(Table1[[#This Row],[Discount]]&gt;=15%,"HIGH",IF(Table1[[#This Row],[Discount]]&gt;=55,"MEDIUM","NONE"))</f>
        <v>HIGH</v>
      </c>
      <c r="R313" s="9">
        <f>Table1[[#This Row],[Ship Date]]-Table1[[#This Row],[Order Date]]</f>
        <v>6</v>
      </c>
      <c r="S313" s="9">
        <f>VLOOKUP(Table1[[#This Row],[Region]],Table2[],2,FALSE)</f>
        <v>160000</v>
      </c>
      <c r="T313" s="9">
        <f>INDEX(Table2[Quarterly Target],MATCH(Table1[[#This Row],[Region]],Table2[[Region ]],0))</f>
        <v>160000</v>
      </c>
      <c r="U313" s="9">
        <f>RANK(Table1[[#This Row],[Sales]],Table1[Sales])</f>
        <v>391</v>
      </c>
      <c r="V313" s="21">
        <f>SUM(N$2:N314)</f>
        <v>944088.92850000085</v>
      </c>
    </row>
    <row r="314" spans="1:22" x14ac:dyDescent="0.25">
      <c r="A314" s="5" t="s">
        <v>750</v>
      </c>
      <c r="B314" s="6" t="s">
        <v>751</v>
      </c>
      <c r="C314" s="6" t="s">
        <v>752</v>
      </c>
      <c r="D314" s="7" t="s">
        <v>16</v>
      </c>
      <c r="E314" s="7" t="s">
        <v>117</v>
      </c>
      <c r="F314" s="7" t="s">
        <v>18</v>
      </c>
      <c r="G314" s="7" t="s">
        <v>50</v>
      </c>
      <c r="H314" s="7" t="s">
        <v>33</v>
      </c>
      <c r="I314" s="7" t="s">
        <v>34</v>
      </c>
      <c r="J314" s="7">
        <v>13</v>
      </c>
      <c r="K314" s="24">
        <v>17.21</v>
      </c>
      <c r="L314" s="8">
        <v>0.05</v>
      </c>
      <c r="M314" s="20">
        <v>10.64</v>
      </c>
      <c r="N314" s="21">
        <f>(Table1[[#This Row],[Quantity]]*Table1[[#This Row],[Unit Price]])*(1-Table1[[#This Row],[Discount]])</f>
        <v>212.54349999999999</v>
      </c>
      <c r="O314" s="21">
        <f>(Table1[[#This Row],[Unit Price]]-Table1[[#This Row],[Unit Cost]])*Table1[[#This Row],[Quantity]]</f>
        <v>85.41</v>
      </c>
      <c r="P314" s="9" t="str">
        <f t="shared" si="4"/>
        <v>Standard</v>
      </c>
      <c r="Q314" s="9" t="str">
        <f>IF(Table1[[#This Row],[Discount]]&gt;=15%,"HIGH",IF(Table1[[#This Row],[Discount]]&gt;=55,"MEDIUM","NONE"))</f>
        <v>NONE</v>
      </c>
      <c r="R314" s="9">
        <f>Table1[[#This Row],[Ship Date]]-Table1[[#This Row],[Order Date]]</f>
        <v>7</v>
      </c>
      <c r="S314" s="9">
        <f>VLOOKUP(Table1[[#This Row],[Region]],Table2[],2,FALSE)</f>
        <v>140000</v>
      </c>
      <c r="T314" s="9">
        <f>INDEX(Table2[Quarterly Target],MATCH(Table1[[#This Row],[Region]],Table2[[Region ]],0))</f>
        <v>140000</v>
      </c>
      <c r="U314" s="9">
        <f>RANK(Table1[[#This Row],[Sales]],Table1[Sales])</f>
        <v>304</v>
      </c>
      <c r="V314" s="21">
        <f>SUM(N$2:N315)</f>
        <v>953855.25150000083</v>
      </c>
    </row>
    <row r="315" spans="1:22" x14ac:dyDescent="0.25">
      <c r="A315" s="5" t="s">
        <v>753</v>
      </c>
      <c r="B315" s="6" t="s">
        <v>116</v>
      </c>
      <c r="C315" s="6" t="s">
        <v>595</v>
      </c>
      <c r="D315" s="7" t="s">
        <v>16</v>
      </c>
      <c r="E315" s="7" t="s">
        <v>133</v>
      </c>
      <c r="F315" s="7" t="s">
        <v>25</v>
      </c>
      <c r="G315" s="7" t="s">
        <v>50</v>
      </c>
      <c r="H315" s="7" t="s">
        <v>45</v>
      </c>
      <c r="I315" s="7" t="s">
        <v>46</v>
      </c>
      <c r="J315" s="7">
        <v>14</v>
      </c>
      <c r="K315" s="24">
        <v>734.31</v>
      </c>
      <c r="L315" s="8">
        <v>0.05</v>
      </c>
      <c r="M315" s="20">
        <v>551.15</v>
      </c>
      <c r="N315" s="21">
        <f>(Table1[[#This Row],[Quantity]]*Table1[[#This Row],[Unit Price]])*(1-Table1[[#This Row],[Discount]])</f>
        <v>9766.3230000000003</v>
      </c>
      <c r="O315" s="21">
        <f>(Table1[[#This Row],[Unit Price]]-Table1[[#This Row],[Unit Cost]])*Table1[[#This Row],[Quantity]]</f>
        <v>2564.2399999999998</v>
      </c>
      <c r="P315" s="9" t="str">
        <f t="shared" si="4"/>
        <v>Bulk</v>
      </c>
      <c r="Q315" s="9" t="str">
        <f>IF(Table1[[#This Row],[Discount]]&gt;=15%,"HIGH",IF(Table1[[#This Row],[Discount]]&gt;=55,"MEDIUM","NONE"))</f>
        <v>NONE</v>
      </c>
      <c r="R315" s="9">
        <f>Table1[[#This Row],[Ship Date]]-Table1[[#This Row],[Order Date]]</f>
        <v>7</v>
      </c>
      <c r="S315" s="9">
        <f>VLOOKUP(Table1[[#This Row],[Region]],Table2[],2,FALSE)</f>
        <v>130000</v>
      </c>
      <c r="T315" s="9">
        <f>INDEX(Table2[Quarterly Target],MATCH(Table1[[#This Row],[Region]],Table2[[Region ]],0))</f>
        <v>130000</v>
      </c>
      <c r="U315" s="9">
        <f>RANK(Table1[[#This Row],[Sales]],Table1[Sales])</f>
        <v>45</v>
      </c>
      <c r="V315" s="21">
        <f>SUM(N$2:N316)</f>
        <v>954144.50750000088</v>
      </c>
    </row>
    <row r="316" spans="1:22" x14ac:dyDescent="0.25">
      <c r="A316" s="5" t="s">
        <v>754</v>
      </c>
      <c r="B316" s="6" t="s">
        <v>565</v>
      </c>
      <c r="C316" s="6" t="s">
        <v>755</v>
      </c>
      <c r="D316" s="7" t="s">
        <v>30</v>
      </c>
      <c r="E316" s="7" t="s">
        <v>91</v>
      </c>
      <c r="F316" s="7" t="s">
        <v>38</v>
      </c>
      <c r="G316" s="7" t="s">
        <v>50</v>
      </c>
      <c r="H316" s="7" t="s">
        <v>61</v>
      </c>
      <c r="I316" s="7" t="s">
        <v>169</v>
      </c>
      <c r="J316" s="7">
        <v>16</v>
      </c>
      <c r="K316" s="24">
        <v>19.03</v>
      </c>
      <c r="L316" s="8">
        <v>0.05</v>
      </c>
      <c r="M316" s="20">
        <v>12.56</v>
      </c>
      <c r="N316" s="21">
        <f>(Table1[[#This Row],[Quantity]]*Table1[[#This Row],[Unit Price]])*(1-Table1[[#This Row],[Discount]])</f>
        <v>289.25600000000003</v>
      </c>
      <c r="O316" s="21">
        <f>(Table1[[#This Row],[Unit Price]]-Table1[[#This Row],[Unit Cost]])*Table1[[#This Row],[Quantity]]</f>
        <v>103.52000000000001</v>
      </c>
      <c r="P316" s="9" t="str">
        <f t="shared" si="4"/>
        <v>Bulk</v>
      </c>
      <c r="Q316" s="9" t="str">
        <f>IF(Table1[[#This Row],[Discount]]&gt;=15%,"HIGH",IF(Table1[[#This Row],[Discount]]&gt;=55,"MEDIUM","NONE"))</f>
        <v>NONE</v>
      </c>
      <c r="R316" s="9">
        <f>Table1[[#This Row],[Ship Date]]-Table1[[#This Row],[Order Date]]</f>
        <v>3</v>
      </c>
      <c r="S316" s="9">
        <f>VLOOKUP(Table1[[#This Row],[Region]],Table2[],2,FALSE)</f>
        <v>120000</v>
      </c>
      <c r="T316" s="9">
        <f>INDEX(Table2[Quarterly Target],MATCH(Table1[[#This Row],[Region]],Table2[[Region ]],0))</f>
        <v>120000</v>
      </c>
      <c r="U316" s="9">
        <f>RANK(Table1[[#This Row],[Sales]],Table1[Sales])</f>
        <v>280</v>
      </c>
      <c r="V316" s="21">
        <f>SUM(N$2:N317)</f>
        <v>954347.68300000089</v>
      </c>
    </row>
    <row r="317" spans="1:22" x14ac:dyDescent="0.25">
      <c r="A317" s="5" t="s">
        <v>756</v>
      </c>
      <c r="B317" s="6" t="s">
        <v>458</v>
      </c>
      <c r="C317" s="6" t="s">
        <v>458</v>
      </c>
      <c r="D317" s="7" t="s">
        <v>24</v>
      </c>
      <c r="E317" s="7" t="s">
        <v>109</v>
      </c>
      <c r="F317" s="7" t="s">
        <v>38</v>
      </c>
      <c r="G317" s="7" t="s">
        <v>19</v>
      </c>
      <c r="H317" s="7" t="s">
        <v>33</v>
      </c>
      <c r="I317" s="7" t="s">
        <v>34</v>
      </c>
      <c r="J317" s="7">
        <v>11</v>
      </c>
      <c r="K317" s="24">
        <v>21.73</v>
      </c>
      <c r="L317" s="8">
        <v>0.15</v>
      </c>
      <c r="M317" s="20">
        <v>15.76</v>
      </c>
      <c r="N317" s="21">
        <f>(Table1[[#This Row],[Quantity]]*Table1[[#This Row],[Unit Price]])*(1-Table1[[#This Row],[Discount]])</f>
        <v>203.1755</v>
      </c>
      <c r="O317" s="21">
        <f>(Table1[[#This Row],[Unit Price]]-Table1[[#This Row],[Unit Cost]])*Table1[[#This Row],[Quantity]]</f>
        <v>65.67</v>
      </c>
      <c r="P317" s="9" t="str">
        <f t="shared" si="4"/>
        <v>Bulk</v>
      </c>
      <c r="Q317" s="9" t="str">
        <f>IF(Table1[[#This Row],[Discount]]&gt;=15%,"HIGH",IF(Table1[[#This Row],[Discount]]&gt;=55,"MEDIUM","NONE"))</f>
        <v>HIGH</v>
      </c>
      <c r="R317" s="9">
        <f>Table1[[#This Row],[Ship Date]]-Table1[[#This Row],[Order Date]]</f>
        <v>0</v>
      </c>
      <c r="S317" s="9">
        <f>VLOOKUP(Table1[[#This Row],[Region]],Table2[],2,FALSE)</f>
        <v>120000</v>
      </c>
      <c r="T317" s="9">
        <f>INDEX(Table2[Quarterly Target],MATCH(Table1[[#This Row],[Region]],Table2[[Region ]],0))</f>
        <v>120000</v>
      </c>
      <c r="U317" s="9">
        <f>RANK(Table1[[#This Row],[Sales]],Table1[Sales])</f>
        <v>313</v>
      </c>
      <c r="V317" s="21">
        <f>SUM(N$2:N318)</f>
        <v>956054.14300000085</v>
      </c>
    </row>
    <row r="318" spans="1:22" x14ac:dyDescent="0.25">
      <c r="A318" s="5" t="s">
        <v>757</v>
      </c>
      <c r="B318" s="6" t="s">
        <v>758</v>
      </c>
      <c r="C318" s="6" t="s">
        <v>758</v>
      </c>
      <c r="D318" s="7" t="s">
        <v>24</v>
      </c>
      <c r="E318" s="7" t="s">
        <v>55</v>
      </c>
      <c r="F318" s="7" t="s">
        <v>18</v>
      </c>
      <c r="G318" s="7" t="s">
        <v>50</v>
      </c>
      <c r="H318" s="7" t="s">
        <v>45</v>
      </c>
      <c r="I318" s="7" t="s">
        <v>143</v>
      </c>
      <c r="J318" s="7">
        <v>20</v>
      </c>
      <c r="K318" s="24">
        <v>100.38</v>
      </c>
      <c r="L318" s="8">
        <v>0.15</v>
      </c>
      <c r="M318" s="20">
        <v>78.66</v>
      </c>
      <c r="N318" s="21">
        <f>(Table1[[#This Row],[Quantity]]*Table1[[#This Row],[Unit Price]])*(1-Table1[[#This Row],[Discount]])</f>
        <v>1706.4599999999998</v>
      </c>
      <c r="O318" s="21">
        <f>(Table1[[#This Row],[Unit Price]]-Table1[[#This Row],[Unit Cost]])*Table1[[#This Row],[Quantity]]</f>
        <v>434.4</v>
      </c>
      <c r="P318" s="9" t="str">
        <f t="shared" si="4"/>
        <v>Bulk</v>
      </c>
      <c r="Q318" s="9" t="str">
        <f>IF(Table1[[#This Row],[Discount]]&gt;=15%,"HIGH",IF(Table1[[#This Row],[Discount]]&gt;=55,"MEDIUM","NONE"))</f>
        <v>HIGH</v>
      </c>
      <c r="R318" s="9">
        <f>Table1[[#This Row],[Ship Date]]-Table1[[#This Row],[Order Date]]</f>
        <v>0</v>
      </c>
      <c r="S318" s="9">
        <f>VLOOKUP(Table1[[#This Row],[Region]],Table2[],2,FALSE)</f>
        <v>140000</v>
      </c>
      <c r="T318" s="9">
        <f>INDEX(Table2[Quarterly Target],MATCH(Table1[[#This Row],[Region]],Table2[[Region ]],0))</f>
        <v>140000</v>
      </c>
      <c r="U318" s="9">
        <f>RANK(Table1[[#This Row],[Sales]],Table1[Sales])</f>
        <v>142</v>
      </c>
      <c r="V318" s="21">
        <f>SUM(N$2:N319)</f>
        <v>957193.48900000087</v>
      </c>
    </row>
    <row r="319" spans="1:22" x14ac:dyDescent="0.25">
      <c r="A319" s="5" t="s">
        <v>759</v>
      </c>
      <c r="B319" s="6" t="s">
        <v>179</v>
      </c>
      <c r="C319" s="6" t="s">
        <v>180</v>
      </c>
      <c r="D319" s="7" t="s">
        <v>30</v>
      </c>
      <c r="E319" s="7" t="s">
        <v>17</v>
      </c>
      <c r="F319" s="7" t="s">
        <v>18</v>
      </c>
      <c r="G319" s="7" t="s">
        <v>32</v>
      </c>
      <c r="H319" s="7" t="s">
        <v>20</v>
      </c>
      <c r="I319" s="7" t="s">
        <v>139</v>
      </c>
      <c r="J319" s="7">
        <v>2</v>
      </c>
      <c r="K319" s="24">
        <v>632.97</v>
      </c>
      <c r="L319" s="8">
        <v>0.1</v>
      </c>
      <c r="M319" s="20">
        <v>449.93</v>
      </c>
      <c r="N319" s="21">
        <f>(Table1[[#This Row],[Quantity]]*Table1[[#This Row],[Unit Price]])*(1-Table1[[#This Row],[Discount]])</f>
        <v>1139.346</v>
      </c>
      <c r="O319" s="21">
        <f>(Table1[[#This Row],[Unit Price]]-Table1[[#This Row],[Unit Cost]])*Table1[[#This Row],[Quantity]]</f>
        <v>366.08000000000004</v>
      </c>
      <c r="P319" s="9" t="str">
        <f t="shared" si="4"/>
        <v>Bulk</v>
      </c>
      <c r="Q319" s="9" t="str">
        <f>IF(Table1[[#This Row],[Discount]]&gt;=15%,"HIGH",IF(Table1[[#This Row],[Discount]]&gt;=55,"MEDIUM","NONE"))</f>
        <v>NONE</v>
      </c>
      <c r="R319" s="9">
        <f>Table1[[#This Row],[Ship Date]]-Table1[[#This Row],[Order Date]]</f>
        <v>2</v>
      </c>
      <c r="S319" s="9">
        <f>VLOOKUP(Table1[[#This Row],[Region]],Table2[],2,FALSE)</f>
        <v>140000</v>
      </c>
      <c r="T319" s="9">
        <f>INDEX(Table2[Quarterly Target],MATCH(Table1[[#This Row],[Region]],Table2[[Region ]],0))</f>
        <v>140000</v>
      </c>
      <c r="U319" s="9">
        <f>RANK(Table1[[#This Row],[Sales]],Table1[Sales])</f>
        <v>171</v>
      </c>
      <c r="V319" s="21">
        <f>SUM(N$2:N320)</f>
        <v>957696.22900000087</v>
      </c>
    </row>
    <row r="320" spans="1:22" x14ac:dyDescent="0.25">
      <c r="A320" s="5" t="s">
        <v>760</v>
      </c>
      <c r="B320" s="6" t="s">
        <v>761</v>
      </c>
      <c r="C320" s="6" t="s">
        <v>639</v>
      </c>
      <c r="D320" s="7" t="s">
        <v>30</v>
      </c>
      <c r="E320" s="7" t="s">
        <v>75</v>
      </c>
      <c r="F320" s="7" t="s">
        <v>38</v>
      </c>
      <c r="G320" s="7" t="s">
        <v>67</v>
      </c>
      <c r="H320" s="7" t="s">
        <v>61</v>
      </c>
      <c r="I320" s="7" t="s">
        <v>62</v>
      </c>
      <c r="J320" s="7">
        <v>15</v>
      </c>
      <c r="K320" s="24">
        <v>35.28</v>
      </c>
      <c r="L320" s="8">
        <v>0.05</v>
      </c>
      <c r="M320" s="20">
        <v>25.98</v>
      </c>
      <c r="N320" s="21">
        <f>(Table1[[#This Row],[Quantity]]*Table1[[#This Row],[Unit Price]])*(1-Table1[[#This Row],[Discount]])</f>
        <v>502.74</v>
      </c>
      <c r="O320" s="21">
        <f>(Table1[[#This Row],[Unit Price]]-Table1[[#This Row],[Unit Cost]])*Table1[[#This Row],[Quantity]]</f>
        <v>139.5</v>
      </c>
      <c r="P320" s="9" t="str">
        <f t="shared" si="4"/>
        <v>Standard</v>
      </c>
      <c r="Q320" s="9" t="str">
        <f>IF(Table1[[#This Row],[Discount]]&gt;=15%,"HIGH",IF(Table1[[#This Row],[Discount]]&gt;=55,"MEDIUM","NONE"))</f>
        <v>NONE</v>
      </c>
      <c r="R320" s="9">
        <f>Table1[[#This Row],[Ship Date]]-Table1[[#This Row],[Order Date]]</f>
        <v>2</v>
      </c>
      <c r="S320" s="9">
        <f>VLOOKUP(Table1[[#This Row],[Region]],Table2[],2,FALSE)</f>
        <v>120000</v>
      </c>
      <c r="T320" s="9">
        <f>INDEX(Table2[Quarterly Target],MATCH(Table1[[#This Row],[Region]],Table2[[Region ]],0))</f>
        <v>120000</v>
      </c>
      <c r="U320" s="9">
        <f>RANK(Table1[[#This Row],[Sales]],Table1[Sales])</f>
        <v>224</v>
      </c>
      <c r="V320" s="21">
        <f>SUM(N$2:N321)</f>
        <v>959176.07900000084</v>
      </c>
    </row>
    <row r="321" spans="1:22" x14ac:dyDescent="0.25">
      <c r="A321" s="5" t="s">
        <v>762</v>
      </c>
      <c r="B321" s="6" t="s">
        <v>164</v>
      </c>
      <c r="C321" s="6" t="s">
        <v>352</v>
      </c>
      <c r="D321" s="7" t="s">
        <v>16</v>
      </c>
      <c r="E321" s="7" t="s">
        <v>122</v>
      </c>
      <c r="F321" s="7" t="s">
        <v>38</v>
      </c>
      <c r="G321" s="7" t="s">
        <v>26</v>
      </c>
      <c r="H321" s="7" t="s">
        <v>61</v>
      </c>
      <c r="I321" s="7" t="s">
        <v>106</v>
      </c>
      <c r="J321" s="7">
        <v>20</v>
      </c>
      <c r="K321" s="24">
        <v>87.05</v>
      </c>
      <c r="L321" s="8">
        <v>0.15</v>
      </c>
      <c r="M321" s="20">
        <v>54.51</v>
      </c>
      <c r="N321" s="21">
        <f>(Table1[[#This Row],[Quantity]]*Table1[[#This Row],[Unit Price]])*(1-Table1[[#This Row],[Discount]])</f>
        <v>1479.85</v>
      </c>
      <c r="O321" s="21">
        <f>(Table1[[#This Row],[Unit Price]]-Table1[[#This Row],[Unit Cost]])*Table1[[#This Row],[Quantity]]</f>
        <v>650.79999999999995</v>
      </c>
      <c r="P321" s="9" t="str">
        <f t="shared" si="4"/>
        <v>Bulk</v>
      </c>
      <c r="Q321" s="9" t="str">
        <f>IF(Table1[[#This Row],[Discount]]&gt;=15%,"HIGH",IF(Table1[[#This Row],[Discount]]&gt;=55,"MEDIUM","NONE"))</f>
        <v>HIGH</v>
      </c>
      <c r="R321" s="9">
        <f>Table1[[#This Row],[Ship Date]]-Table1[[#This Row],[Order Date]]</f>
        <v>5</v>
      </c>
      <c r="S321" s="9">
        <f>VLOOKUP(Table1[[#This Row],[Region]],Table2[],2,FALSE)</f>
        <v>120000</v>
      </c>
      <c r="T321" s="9">
        <f>INDEX(Table2[Quarterly Target],MATCH(Table1[[#This Row],[Region]],Table2[[Region ]],0))</f>
        <v>120000</v>
      </c>
      <c r="U321" s="9">
        <f>RANK(Table1[[#This Row],[Sales]],Table1[Sales])</f>
        <v>153</v>
      </c>
      <c r="V321" s="21">
        <f>SUM(N$2:N322)</f>
        <v>959782.89150000084</v>
      </c>
    </row>
    <row r="322" spans="1:22" x14ac:dyDescent="0.25">
      <c r="A322" s="5" t="s">
        <v>763</v>
      </c>
      <c r="B322" s="6" t="s">
        <v>764</v>
      </c>
      <c r="C322" s="6" t="s">
        <v>764</v>
      </c>
      <c r="D322" s="7" t="s">
        <v>24</v>
      </c>
      <c r="E322" s="7" t="s">
        <v>75</v>
      </c>
      <c r="F322" s="7" t="s">
        <v>25</v>
      </c>
      <c r="G322" s="7" t="s">
        <v>32</v>
      </c>
      <c r="H322" s="7" t="s">
        <v>33</v>
      </c>
      <c r="I322" s="7" t="s">
        <v>34</v>
      </c>
      <c r="J322" s="7">
        <v>25</v>
      </c>
      <c r="K322" s="24">
        <v>25.55</v>
      </c>
      <c r="L322" s="8">
        <v>0.05</v>
      </c>
      <c r="M322" s="20">
        <v>18.63</v>
      </c>
      <c r="N322" s="21">
        <f>(Table1[[#This Row],[Quantity]]*Table1[[#This Row],[Unit Price]])*(1-Table1[[#This Row],[Discount]])</f>
        <v>606.8125</v>
      </c>
      <c r="O322" s="21">
        <f>(Table1[[#This Row],[Unit Price]]-Table1[[#This Row],[Unit Cost]])*Table1[[#This Row],[Quantity]]</f>
        <v>173.00000000000006</v>
      </c>
      <c r="P322" s="9" t="str">
        <f t="shared" ref="P322:P385" si="5">IF(J321&gt;10,"Bulk","Standard")</f>
        <v>Bulk</v>
      </c>
      <c r="Q322" s="9" t="str">
        <f>IF(Table1[[#This Row],[Discount]]&gt;=15%,"HIGH",IF(Table1[[#This Row],[Discount]]&gt;=55,"MEDIUM","NONE"))</f>
        <v>NONE</v>
      </c>
      <c r="R322" s="9">
        <f>Table1[[#This Row],[Ship Date]]-Table1[[#This Row],[Order Date]]</f>
        <v>0</v>
      </c>
      <c r="S322" s="9">
        <f>VLOOKUP(Table1[[#This Row],[Region]],Table2[],2,FALSE)</f>
        <v>130000</v>
      </c>
      <c r="T322" s="9">
        <f>INDEX(Table2[Quarterly Target],MATCH(Table1[[#This Row],[Region]],Table2[[Region ]],0))</f>
        <v>130000</v>
      </c>
      <c r="U322" s="9">
        <f>RANK(Table1[[#This Row],[Sales]],Table1[Sales])</f>
        <v>213</v>
      </c>
      <c r="V322" s="21">
        <f>SUM(N$2:N323)</f>
        <v>984123.99150000082</v>
      </c>
    </row>
    <row r="323" spans="1:22" x14ac:dyDescent="0.25">
      <c r="A323" s="5" t="s">
        <v>765</v>
      </c>
      <c r="B323" s="6" t="s">
        <v>766</v>
      </c>
      <c r="C323" s="6" t="s">
        <v>145</v>
      </c>
      <c r="D323" s="7" t="s">
        <v>30</v>
      </c>
      <c r="E323" s="7" t="s">
        <v>91</v>
      </c>
      <c r="F323" s="7" t="s">
        <v>25</v>
      </c>
      <c r="G323" s="7" t="s">
        <v>32</v>
      </c>
      <c r="H323" s="7" t="s">
        <v>20</v>
      </c>
      <c r="I323" s="7" t="s">
        <v>151</v>
      </c>
      <c r="J323" s="7">
        <v>21</v>
      </c>
      <c r="K323" s="24">
        <v>1159.0999999999999</v>
      </c>
      <c r="L323" s="8">
        <v>0</v>
      </c>
      <c r="M323" s="20">
        <v>796.21</v>
      </c>
      <c r="N323" s="21">
        <f>(Table1[[#This Row],[Quantity]]*Table1[[#This Row],[Unit Price]])*(1-Table1[[#This Row],[Discount]])</f>
        <v>24341.1</v>
      </c>
      <c r="O323" s="21">
        <f>(Table1[[#This Row],[Unit Price]]-Table1[[#This Row],[Unit Cost]])*Table1[[#This Row],[Quantity]]</f>
        <v>7620.6899999999969</v>
      </c>
      <c r="P323" s="9" t="str">
        <f t="shared" si="5"/>
        <v>Bulk</v>
      </c>
      <c r="Q323" s="9" t="str">
        <f>IF(Table1[[#This Row],[Discount]]&gt;=15%,"HIGH",IF(Table1[[#This Row],[Discount]]&gt;=55,"MEDIUM","NONE"))</f>
        <v>NONE</v>
      </c>
      <c r="R323" s="9">
        <f>Table1[[#This Row],[Ship Date]]-Table1[[#This Row],[Order Date]]</f>
        <v>2</v>
      </c>
      <c r="S323" s="9">
        <f>VLOOKUP(Table1[[#This Row],[Region]],Table2[],2,FALSE)</f>
        <v>130000</v>
      </c>
      <c r="T323" s="9">
        <f>INDEX(Table2[Quarterly Target],MATCH(Table1[[#This Row],[Region]],Table2[[Region ]],0))</f>
        <v>130000</v>
      </c>
      <c r="U323" s="9">
        <f>RANK(Table1[[#This Row],[Sales]],Table1[Sales])</f>
        <v>2</v>
      </c>
      <c r="V323" s="21">
        <f>SUM(N$2:N324)</f>
        <v>988223.5915000008</v>
      </c>
    </row>
    <row r="324" spans="1:22" x14ac:dyDescent="0.25">
      <c r="A324" s="5" t="s">
        <v>767</v>
      </c>
      <c r="B324" s="6" t="s">
        <v>768</v>
      </c>
      <c r="C324" s="6" t="s">
        <v>769</v>
      </c>
      <c r="D324" s="7" t="s">
        <v>30</v>
      </c>
      <c r="E324" s="7" t="s">
        <v>31</v>
      </c>
      <c r="F324" s="7" t="s">
        <v>25</v>
      </c>
      <c r="G324" s="7" t="s">
        <v>67</v>
      </c>
      <c r="H324" s="7" t="s">
        <v>45</v>
      </c>
      <c r="I324" s="7" t="s">
        <v>143</v>
      </c>
      <c r="J324" s="7">
        <v>20</v>
      </c>
      <c r="K324" s="24">
        <v>204.98</v>
      </c>
      <c r="L324" s="8">
        <v>0</v>
      </c>
      <c r="M324" s="20">
        <v>160.41</v>
      </c>
      <c r="N324" s="21">
        <f>(Table1[[#This Row],[Quantity]]*Table1[[#This Row],[Unit Price]])*(1-Table1[[#This Row],[Discount]])</f>
        <v>4099.5999999999995</v>
      </c>
      <c r="O324" s="21">
        <f>(Table1[[#This Row],[Unit Price]]-Table1[[#This Row],[Unit Cost]])*Table1[[#This Row],[Quantity]]</f>
        <v>891.39999999999986</v>
      </c>
      <c r="P324" s="9" t="str">
        <f t="shared" si="5"/>
        <v>Bulk</v>
      </c>
      <c r="Q324" s="9" t="str">
        <f>IF(Table1[[#This Row],[Discount]]&gt;=15%,"HIGH",IF(Table1[[#This Row],[Discount]]&gt;=55,"MEDIUM","NONE"))</f>
        <v>NONE</v>
      </c>
      <c r="R324" s="9">
        <f>Table1[[#This Row],[Ship Date]]-Table1[[#This Row],[Order Date]]</f>
        <v>2</v>
      </c>
      <c r="S324" s="9">
        <f>VLOOKUP(Table1[[#This Row],[Region]],Table2[],2,FALSE)</f>
        <v>130000</v>
      </c>
      <c r="T324" s="9">
        <f>INDEX(Table2[Quarterly Target],MATCH(Table1[[#This Row],[Region]],Table2[[Region ]],0))</f>
        <v>130000</v>
      </c>
      <c r="U324" s="9">
        <f>RANK(Table1[[#This Row],[Sales]],Table1[Sales])</f>
        <v>105</v>
      </c>
      <c r="V324" s="21">
        <f>SUM(N$2:N325)</f>
        <v>996948.26350000082</v>
      </c>
    </row>
    <row r="325" spans="1:22" x14ac:dyDescent="0.25">
      <c r="A325" s="5" t="s">
        <v>770</v>
      </c>
      <c r="B325" s="6" t="s">
        <v>621</v>
      </c>
      <c r="C325" s="6" t="s">
        <v>621</v>
      </c>
      <c r="D325" s="7" t="s">
        <v>24</v>
      </c>
      <c r="E325" s="7" t="s">
        <v>31</v>
      </c>
      <c r="F325" s="7" t="s">
        <v>43</v>
      </c>
      <c r="G325" s="7" t="s">
        <v>26</v>
      </c>
      <c r="H325" s="7" t="s">
        <v>45</v>
      </c>
      <c r="I325" s="7" t="s">
        <v>148</v>
      </c>
      <c r="J325" s="7">
        <v>22</v>
      </c>
      <c r="K325" s="24">
        <v>495.72</v>
      </c>
      <c r="L325" s="8">
        <v>0.2</v>
      </c>
      <c r="M325" s="20">
        <v>383.16</v>
      </c>
      <c r="N325" s="21">
        <f>(Table1[[#This Row],[Quantity]]*Table1[[#This Row],[Unit Price]])*(1-Table1[[#This Row],[Discount]])</f>
        <v>8724.6720000000005</v>
      </c>
      <c r="O325" s="21">
        <f>(Table1[[#This Row],[Unit Price]]-Table1[[#This Row],[Unit Cost]])*Table1[[#This Row],[Quantity]]</f>
        <v>2476.3200000000002</v>
      </c>
      <c r="P325" s="9" t="str">
        <f t="shared" si="5"/>
        <v>Bulk</v>
      </c>
      <c r="Q325" s="9" t="str">
        <f>IF(Table1[[#This Row],[Discount]]&gt;=15%,"HIGH",IF(Table1[[#This Row],[Discount]]&gt;=55,"MEDIUM","NONE"))</f>
        <v>HIGH</v>
      </c>
      <c r="R325" s="9">
        <f>Table1[[#This Row],[Ship Date]]-Table1[[#This Row],[Order Date]]</f>
        <v>0</v>
      </c>
      <c r="S325" s="9">
        <f>VLOOKUP(Table1[[#This Row],[Region]],Table2[],2,FALSE)</f>
        <v>150000</v>
      </c>
      <c r="T325" s="9">
        <f>INDEX(Table2[Quarterly Target],MATCH(Table1[[#This Row],[Region]],Table2[[Region ]],0))</f>
        <v>150000</v>
      </c>
      <c r="U325" s="9">
        <f>RANK(Table1[[#This Row],[Sales]],Table1[Sales])</f>
        <v>51</v>
      </c>
      <c r="V325" s="21">
        <f>SUM(N$2:N326)</f>
        <v>1011195.0475000008</v>
      </c>
    </row>
    <row r="326" spans="1:22" x14ac:dyDescent="0.25">
      <c r="A326" s="5" t="s">
        <v>771</v>
      </c>
      <c r="B326" s="6" t="s">
        <v>653</v>
      </c>
      <c r="C326" s="6" t="s">
        <v>653</v>
      </c>
      <c r="D326" s="7" t="s">
        <v>24</v>
      </c>
      <c r="E326" s="7" t="s">
        <v>122</v>
      </c>
      <c r="F326" s="7" t="s">
        <v>43</v>
      </c>
      <c r="G326" s="7" t="s">
        <v>97</v>
      </c>
      <c r="H326" s="7" t="s">
        <v>20</v>
      </c>
      <c r="I326" s="7" t="s">
        <v>192</v>
      </c>
      <c r="J326" s="7">
        <v>16</v>
      </c>
      <c r="K326" s="24">
        <v>1113.03</v>
      </c>
      <c r="L326" s="8">
        <v>0.2</v>
      </c>
      <c r="M326" s="20">
        <v>868.49</v>
      </c>
      <c r="N326" s="21">
        <f>(Table1[[#This Row],[Quantity]]*Table1[[#This Row],[Unit Price]])*(1-Table1[[#This Row],[Discount]])</f>
        <v>14246.784</v>
      </c>
      <c r="O326" s="21">
        <f>(Table1[[#This Row],[Unit Price]]-Table1[[#This Row],[Unit Cost]])*Table1[[#This Row],[Quantity]]</f>
        <v>3912.6399999999994</v>
      </c>
      <c r="P326" s="9" t="str">
        <f t="shared" si="5"/>
        <v>Bulk</v>
      </c>
      <c r="Q326" s="9" t="str">
        <f>IF(Table1[[#This Row],[Discount]]&gt;=15%,"HIGH",IF(Table1[[#This Row],[Discount]]&gt;=55,"MEDIUM","NONE"))</f>
        <v>HIGH</v>
      </c>
      <c r="R326" s="9">
        <f>Table1[[#This Row],[Ship Date]]-Table1[[#This Row],[Order Date]]</f>
        <v>0</v>
      </c>
      <c r="S326" s="9">
        <f>VLOOKUP(Table1[[#This Row],[Region]],Table2[],2,FALSE)</f>
        <v>150000</v>
      </c>
      <c r="T326" s="9">
        <f>INDEX(Table2[Quarterly Target],MATCH(Table1[[#This Row],[Region]],Table2[[Region ]],0))</f>
        <v>150000</v>
      </c>
      <c r="U326" s="9">
        <f>RANK(Table1[[#This Row],[Sales]],Table1[Sales])</f>
        <v>20</v>
      </c>
      <c r="V326" s="21">
        <f>SUM(N$2:N327)</f>
        <v>1017413.1295000009</v>
      </c>
    </row>
    <row r="327" spans="1:22" x14ac:dyDescent="0.25">
      <c r="A327" s="5" t="s">
        <v>772</v>
      </c>
      <c r="B327" s="6" t="s">
        <v>773</v>
      </c>
      <c r="C327" s="6" t="s">
        <v>773</v>
      </c>
      <c r="D327" s="7" t="s">
        <v>24</v>
      </c>
      <c r="E327" s="7" t="s">
        <v>112</v>
      </c>
      <c r="F327" s="7" t="s">
        <v>38</v>
      </c>
      <c r="G327" s="7" t="s">
        <v>32</v>
      </c>
      <c r="H327" s="7" t="s">
        <v>20</v>
      </c>
      <c r="I327" s="7" t="s">
        <v>139</v>
      </c>
      <c r="J327" s="7">
        <v>13</v>
      </c>
      <c r="K327" s="24">
        <v>531.46</v>
      </c>
      <c r="L327" s="8">
        <v>0.1</v>
      </c>
      <c r="M327" s="20">
        <v>414</v>
      </c>
      <c r="N327" s="21">
        <f>(Table1[[#This Row],[Quantity]]*Table1[[#This Row],[Unit Price]])*(1-Table1[[#This Row],[Discount]])</f>
        <v>6218.0820000000003</v>
      </c>
      <c r="O327" s="21">
        <f>(Table1[[#This Row],[Unit Price]]-Table1[[#This Row],[Unit Cost]])*Table1[[#This Row],[Quantity]]</f>
        <v>1526.9800000000005</v>
      </c>
      <c r="P327" s="9" t="str">
        <f t="shared" si="5"/>
        <v>Bulk</v>
      </c>
      <c r="Q327" s="9" t="str">
        <f>IF(Table1[[#This Row],[Discount]]&gt;=15%,"HIGH",IF(Table1[[#This Row],[Discount]]&gt;=55,"MEDIUM","NONE"))</f>
        <v>NONE</v>
      </c>
      <c r="R327" s="9">
        <f>Table1[[#This Row],[Ship Date]]-Table1[[#This Row],[Order Date]]</f>
        <v>0</v>
      </c>
      <c r="S327" s="9">
        <f>VLOOKUP(Table1[[#This Row],[Region]],Table2[],2,FALSE)</f>
        <v>120000</v>
      </c>
      <c r="T327" s="9">
        <f>INDEX(Table2[Quarterly Target],MATCH(Table1[[#This Row],[Region]],Table2[[Region ]],0))</f>
        <v>120000</v>
      </c>
      <c r="U327" s="9">
        <f>RANK(Table1[[#This Row],[Sales]],Table1[Sales])</f>
        <v>83</v>
      </c>
      <c r="V327" s="21">
        <f>SUM(N$2:N328)</f>
        <v>1017899.3295000008</v>
      </c>
    </row>
    <row r="328" spans="1:22" x14ac:dyDescent="0.25">
      <c r="A328" s="5" t="s">
        <v>774</v>
      </c>
      <c r="B328" s="6" t="s">
        <v>775</v>
      </c>
      <c r="C328" s="6" t="s">
        <v>163</v>
      </c>
      <c r="D328" s="7" t="s">
        <v>30</v>
      </c>
      <c r="E328" s="7" t="s">
        <v>59</v>
      </c>
      <c r="F328" s="7" t="s">
        <v>60</v>
      </c>
      <c r="G328" s="7" t="s">
        <v>50</v>
      </c>
      <c r="H328" s="7" t="s">
        <v>33</v>
      </c>
      <c r="I328" s="7" t="s">
        <v>39</v>
      </c>
      <c r="J328" s="7">
        <v>20</v>
      </c>
      <c r="K328" s="24">
        <v>28.6</v>
      </c>
      <c r="L328" s="8">
        <v>0.15</v>
      </c>
      <c r="M328" s="20">
        <v>19.39</v>
      </c>
      <c r="N328" s="21">
        <f>(Table1[[#This Row],[Quantity]]*Table1[[#This Row],[Unit Price]])*(1-Table1[[#This Row],[Discount]])</f>
        <v>486.2</v>
      </c>
      <c r="O328" s="21">
        <f>(Table1[[#This Row],[Unit Price]]-Table1[[#This Row],[Unit Cost]])*Table1[[#This Row],[Quantity]]</f>
        <v>184.20000000000002</v>
      </c>
      <c r="P328" s="9" t="str">
        <f t="shared" si="5"/>
        <v>Bulk</v>
      </c>
      <c r="Q328" s="9" t="str">
        <f>IF(Table1[[#This Row],[Discount]]&gt;=15%,"HIGH",IF(Table1[[#This Row],[Discount]]&gt;=55,"MEDIUM","NONE"))</f>
        <v>HIGH</v>
      </c>
      <c r="R328" s="9">
        <f>Table1[[#This Row],[Ship Date]]-Table1[[#This Row],[Order Date]]</f>
        <v>2</v>
      </c>
      <c r="S328" s="9">
        <f>VLOOKUP(Table1[[#This Row],[Region]],Table2[],2,FALSE)</f>
        <v>160000</v>
      </c>
      <c r="T328" s="9">
        <f>INDEX(Table2[Quarterly Target],MATCH(Table1[[#This Row],[Region]],Table2[[Region ]],0))</f>
        <v>160000</v>
      </c>
      <c r="U328" s="9">
        <f>RANK(Table1[[#This Row],[Sales]],Table1[Sales])</f>
        <v>226</v>
      </c>
      <c r="V328" s="21">
        <f>SUM(N$2:N329)</f>
        <v>1034313.5595000008</v>
      </c>
    </row>
    <row r="329" spans="1:22" x14ac:dyDescent="0.25">
      <c r="A329" s="5" t="s">
        <v>776</v>
      </c>
      <c r="B329" s="6" t="s">
        <v>725</v>
      </c>
      <c r="C329" s="6" t="s">
        <v>725</v>
      </c>
      <c r="D329" s="7" t="s">
        <v>24</v>
      </c>
      <c r="E329" s="7" t="s">
        <v>206</v>
      </c>
      <c r="F329" s="7" t="s">
        <v>18</v>
      </c>
      <c r="G329" s="7" t="s">
        <v>50</v>
      </c>
      <c r="H329" s="7" t="s">
        <v>45</v>
      </c>
      <c r="I329" s="7" t="s">
        <v>83</v>
      </c>
      <c r="J329" s="7">
        <v>21</v>
      </c>
      <c r="K329" s="24">
        <v>781.63</v>
      </c>
      <c r="L329" s="8">
        <v>0</v>
      </c>
      <c r="M329" s="20">
        <v>528.36</v>
      </c>
      <c r="N329" s="21">
        <f>(Table1[[#This Row],[Quantity]]*Table1[[#This Row],[Unit Price]])*(1-Table1[[#This Row],[Discount]])</f>
        <v>16414.23</v>
      </c>
      <c r="O329" s="21">
        <f>(Table1[[#This Row],[Unit Price]]-Table1[[#This Row],[Unit Cost]])*Table1[[#This Row],[Quantity]]</f>
        <v>5318.67</v>
      </c>
      <c r="P329" s="9" t="str">
        <f t="shared" si="5"/>
        <v>Bulk</v>
      </c>
      <c r="Q329" s="9" t="str">
        <f>IF(Table1[[#This Row],[Discount]]&gt;=15%,"HIGH",IF(Table1[[#This Row],[Discount]]&gt;=55,"MEDIUM","NONE"))</f>
        <v>NONE</v>
      </c>
      <c r="R329" s="9">
        <f>Table1[[#This Row],[Ship Date]]-Table1[[#This Row],[Order Date]]</f>
        <v>0</v>
      </c>
      <c r="S329" s="9">
        <f>VLOOKUP(Table1[[#This Row],[Region]],Table2[],2,FALSE)</f>
        <v>140000</v>
      </c>
      <c r="T329" s="9">
        <f>INDEX(Table2[Quarterly Target],MATCH(Table1[[#This Row],[Region]],Table2[[Region ]],0))</f>
        <v>140000</v>
      </c>
      <c r="U329" s="9">
        <f>RANK(Table1[[#This Row],[Sales]],Table1[Sales])</f>
        <v>8</v>
      </c>
      <c r="V329" s="21">
        <f>SUM(N$2:N330)</f>
        <v>1034365.3795000007</v>
      </c>
    </row>
    <row r="330" spans="1:22" x14ac:dyDescent="0.25">
      <c r="A330" s="5" t="s">
        <v>777</v>
      </c>
      <c r="B330" s="6" t="s">
        <v>778</v>
      </c>
      <c r="C330" s="6" t="s">
        <v>516</v>
      </c>
      <c r="D330" s="7" t="s">
        <v>30</v>
      </c>
      <c r="E330" s="7" t="s">
        <v>31</v>
      </c>
      <c r="F330" s="7" t="s">
        <v>38</v>
      </c>
      <c r="G330" s="7" t="s">
        <v>44</v>
      </c>
      <c r="H330" s="7" t="s">
        <v>61</v>
      </c>
      <c r="I330" s="7" t="s">
        <v>72</v>
      </c>
      <c r="J330" s="7">
        <v>1</v>
      </c>
      <c r="K330" s="24">
        <v>51.82</v>
      </c>
      <c r="L330" s="8">
        <v>0</v>
      </c>
      <c r="M330" s="20">
        <v>33.44</v>
      </c>
      <c r="N330" s="21">
        <f>(Table1[[#This Row],[Quantity]]*Table1[[#This Row],[Unit Price]])*(1-Table1[[#This Row],[Discount]])</f>
        <v>51.82</v>
      </c>
      <c r="O330" s="21">
        <f>(Table1[[#This Row],[Unit Price]]-Table1[[#This Row],[Unit Cost]])*Table1[[#This Row],[Quantity]]</f>
        <v>18.380000000000003</v>
      </c>
      <c r="P330" s="9" t="str">
        <f t="shared" si="5"/>
        <v>Bulk</v>
      </c>
      <c r="Q330" s="9" t="str">
        <f>IF(Table1[[#This Row],[Discount]]&gt;=15%,"HIGH",IF(Table1[[#This Row],[Discount]]&gt;=55,"MEDIUM","NONE"))</f>
        <v>NONE</v>
      </c>
      <c r="R330" s="9">
        <f>Table1[[#This Row],[Ship Date]]-Table1[[#This Row],[Order Date]]</f>
        <v>2</v>
      </c>
      <c r="S330" s="9">
        <f>VLOOKUP(Table1[[#This Row],[Region]],Table2[],2,FALSE)</f>
        <v>120000</v>
      </c>
      <c r="T330" s="9">
        <f>INDEX(Table2[Quarterly Target],MATCH(Table1[[#This Row],[Region]],Table2[[Region ]],0))</f>
        <v>120000</v>
      </c>
      <c r="U330" s="9">
        <f>RANK(Table1[[#This Row],[Sales]],Table1[Sales])</f>
        <v>378</v>
      </c>
      <c r="V330" s="21">
        <f>SUM(N$2:N331)</f>
        <v>1035097.0095000007</v>
      </c>
    </row>
    <row r="331" spans="1:22" x14ac:dyDescent="0.25">
      <c r="A331" s="5" t="s">
        <v>779</v>
      </c>
      <c r="B331" s="6" t="s">
        <v>780</v>
      </c>
      <c r="C331" s="6" t="s">
        <v>437</v>
      </c>
      <c r="D331" s="7" t="s">
        <v>16</v>
      </c>
      <c r="E331" s="7" t="s">
        <v>37</v>
      </c>
      <c r="F331" s="7" t="s">
        <v>18</v>
      </c>
      <c r="G331" s="7" t="s">
        <v>50</v>
      </c>
      <c r="H331" s="7" t="s">
        <v>33</v>
      </c>
      <c r="I331" s="7" t="s">
        <v>51</v>
      </c>
      <c r="J331" s="7">
        <v>23</v>
      </c>
      <c r="K331" s="24">
        <v>31.81</v>
      </c>
      <c r="L331" s="8">
        <v>0</v>
      </c>
      <c r="M331" s="20">
        <v>23.49</v>
      </c>
      <c r="N331" s="21">
        <f>(Table1[[#This Row],[Quantity]]*Table1[[#This Row],[Unit Price]])*(1-Table1[[#This Row],[Discount]])</f>
        <v>731.63</v>
      </c>
      <c r="O331" s="21">
        <f>(Table1[[#This Row],[Unit Price]]-Table1[[#This Row],[Unit Cost]])*Table1[[#This Row],[Quantity]]</f>
        <v>191.36</v>
      </c>
      <c r="P331" s="9" t="str">
        <f t="shared" si="5"/>
        <v>Standard</v>
      </c>
      <c r="Q331" s="9" t="str">
        <f>IF(Table1[[#This Row],[Discount]]&gt;=15%,"HIGH",IF(Table1[[#This Row],[Discount]]&gt;=55,"MEDIUM","NONE"))</f>
        <v>NONE</v>
      </c>
      <c r="R331" s="9">
        <f>Table1[[#This Row],[Ship Date]]-Table1[[#This Row],[Order Date]]</f>
        <v>4</v>
      </c>
      <c r="S331" s="9">
        <f>VLOOKUP(Table1[[#This Row],[Region]],Table2[],2,FALSE)</f>
        <v>140000</v>
      </c>
      <c r="T331" s="9">
        <f>INDEX(Table2[Quarterly Target],MATCH(Table1[[#This Row],[Region]],Table2[[Region ]],0))</f>
        <v>140000</v>
      </c>
      <c r="U331" s="9">
        <f>RANK(Table1[[#This Row],[Sales]],Table1[Sales])</f>
        <v>200</v>
      </c>
      <c r="V331" s="21">
        <f>SUM(N$2:N332)</f>
        <v>1048043.5295000008</v>
      </c>
    </row>
    <row r="332" spans="1:22" x14ac:dyDescent="0.25">
      <c r="A332" s="5" t="s">
        <v>781</v>
      </c>
      <c r="B332" s="6" t="s">
        <v>373</v>
      </c>
      <c r="C332" s="6" t="s">
        <v>273</v>
      </c>
      <c r="D332" s="7" t="s">
        <v>16</v>
      </c>
      <c r="E332" s="7" t="s">
        <v>17</v>
      </c>
      <c r="F332" s="7" t="s">
        <v>38</v>
      </c>
      <c r="G332" s="7" t="s">
        <v>97</v>
      </c>
      <c r="H332" s="7" t="s">
        <v>20</v>
      </c>
      <c r="I332" s="7" t="s">
        <v>192</v>
      </c>
      <c r="J332" s="7">
        <v>17</v>
      </c>
      <c r="K332" s="24">
        <v>951.95</v>
      </c>
      <c r="L332" s="8">
        <v>0.2</v>
      </c>
      <c r="M332" s="20">
        <v>689.24</v>
      </c>
      <c r="N332" s="21">
        <f>(Table1[[#This Row],[Quantity]]*Table1[[#This Row],[Unit Price]])*(1-Table1[[#This Row],[Discount]])</f>
        <v>12946.520000000002</v>
      </c>
      <c r="O332" s="21">
        <f>(Table1[[#This Row],[Unit Price]]-Table1[[#This Row],[Unit Cost]])*Table1[[#This Row],[Quantity]]</f>
        <v>4466.0700000000006</v>
      </c>
      <c r="P332" s="9" t="str">
        <f t="shared" si="5"/>
        <v>Bulk</v>
      </c>
      <c r="Q332" s="9" t="str">
        <f>IF(Table1[[#This Row],[Discount]]&gt;=15%,"HIGH",IF(Table1[[#This Row],[Discount]]&gt;=55,"MEDIUM","NONE"))</f>
        <v>HIGH</v>
      </c>
      <c r="R332" s="9">
        <f>Table1[[#This Row],[Ship Date]]-Table1[[#This Row],[Order Date]]</f>
        <v>4</v>
      </c>
      <c r="S332" s="9">
        <f>VLOOKUP(Table1[[#This Row],[Region]],Table2[],2,FALSE)</f>
        <v>120000</v>
      </c>
      <c r="T332" s="9">
        <f>INDEX(Table2[Quarterly Target],MATCH(Table1[[#This Row],[Region]],Table2[[Region ]],0))</f>
        <v>120000</v>
      </c>
      <c r="U332" s="9">
        <f>RANK(Table1[[#This Row],[Sales]],Table1[Sales])</f>
        <v>27</v>
      </c>
      <c r="V332" s="21">
        <f>SUM(N$2:N333)</f>
        <v>1048232.5295000008</v>
      </c>
    </row>
    <row r="333" spans="1:22" x14ac:dyDescent="0.25">
      <c r="A333" s="5" t="s">
        <v>782</v>
      </c>
      <c r="B333" s="6" t="s">
        <v>783</v>
      </c>
      <c r="C333" s="6" t="s">
        <v>783</v>
      </c>
      <c r="D333" s="7" t="s">
        <v>24</v>
      </c>
      <c r="E333" s="7" t="s">
        <v>133</v>
      </c>
      <c r="F333" s="7" t="s">
        <v>38</v>
      </c>
      <c r="G333" s="7" t="s">
        <v>26</v>
      </c>
      <c r="H333" s="7" t="s">
        <v>61</v>
      </c>
      <c r="I333" s="7" t="s">
        <v>169</v>
      </c>
      <c r="J333" s="7">
        <v>9</v>
      </c>
      <c r="K333" s="24">
        <v>26.25</v>
      </c>
      <c r="L333" s="8">
        <v>0.2</v>
      </c>
      <c r="M333" s="20">
        <v>19.559999999999999</v>
      </c>
      <c r="N333" s="21">
        <f>(Table1[[#This Row],[Quantity]]*Table1[[#This Row],[Unit Price]])*(1-Table1[[#This Row],[Discount]])</f>
        <v>189</v>
      </c>
      <c r="O333" s="21">
        <f>(Table1[[#This Row],[Unit Price]]-Table1[[#This Row],[Unit Cost]])*Table1[[#This Row],[Quantity]]</f>
        <v>60.210000000000008</v>
      </c>
      <c r="P333" s="9" t="str">
        <f t="shared" si="5"/>
        <v>Bulk</v>
      </c>
      <c r="Q333" s="9" t="str">
        <f>IF(Table1[[#This Row],[Discount]]&gt;=15%,"HIGH",IF(Table1[[#This Row],[Discount]]&gt;=55,"MEDIUM","NONE"))</f>
        <v>HIGH</v>
      </c>
      <c r="R333" s="9">
        <f>Table1[[#This Row],[Ship Date]]-Table1[[#This Row],[Order Date]]</f>
        <v>0</v>
      </c>
      <c r="S333" s="9">
        <f>VLOOKUP(Table1[[#This Row],[Region]],Table2[],2,FALSE)</f>
        <v>120000</v>
      </c>
      <c r="T333" s="9">
        <f>INDEX(Table2[Quarterly Target],MATCH(Table1[[#This Row],[Region]],Table2[[Region ]],0))</f>
        <v>120000</v>
      </c>
      <c r="U333" s="9">
        <f>RANK(Table1[[#This Row],[Sales]],Table1[Sales])</f>
        <v>320</v>
      </c>
      <c r="V333" s="21">
        <f>SUM(N$2:N334)</f>
        <v>1048324.7895000008</v>
      </c>
    </row>
    <row r="334" spans="1:22" x14ac:dyDescent="0.25">
      <c r="A334" s="5" t="s">
        <v>784</v>
      </c>
      <c r="B334" s="6" t="s">
        <v>588</v>
      </c>
      <c r="C334" s="6" t="s">
        <v>588</v>
      </c>
      <c r="D334" s="7" t="s">
        <v>24</v>
      </c>
      <c r="E334" s="7" t="s">
        <v>112</v>
      </c>
      <c r="F334" s="7" t="s">
        <v>38</v>
      </c>
      <c r="G334" s="7" t="s">
        <v>19</v>
      </c>
      <c r="H334" s="7" t="s">
        <v>33</v>
      </c>
      <c r="I334" s="7" t="s">
        <v>153</v>
      </c>
      <c r="J334" s="7">
        <v>7</v>
      </c>
      <c r="K334" s="24">
        <v>13.18</v>
      </c>
      <c r="L334" s="8">
        <v>0</v>
      </c>
      <c r="M334" s="20">
        <v>10.49</v>
      </c>
      <c r="N334" s="21">
        <f>(Table1[[#This Row],[Quantity]]*Table1[[#This Row],[Unit Price]])*(1-Table1[[#This Row],[Discount]])</f>
        <v>92.259999999999991</v>
      </c>
      <c r="O334" s="21">
        <f>(Table1[[#This Row],[Unit Price]]-Table1[[#This Row],[Unit Cost]])*Table1[[#This Row],[Quantity]]</f>
        <v>18.829999999999998</v>
      </c>
      <c r="P334" s="9" t="str">
        <f t="shared" si="5"/>
        <v>Standard</v>
      </c>
      <c r="Q334" s="9" t="str">
        <f>IF(Table1[[#This Row],[Discount]]&gt;=15%,"HIGH",IF(Table1[[#This Row],[Discount]]&gt;=55,"MEDIUM","NONE"))</f>
        <v>NONE</v>
      </c>
      <c r="R334" s="9">
        <f>Table1[[#This Row],[Ship Date]]-Table1[[#This Row],[Order Date]]</f>
        <v>0</v>
      </c>
      <c r="S334" s="9">
        <f>VLOOKUP(Table1[[#This Row],[Region]],Table2[],2,FALSE)</f>
        <v>120000</v>
      </c>
      <c r="T334" s="9">
        <f>INDEX(Table2[Quarterly Target],MATCH(Table1[[#This Row],[Region]],Table2[[Region ]],0))</f>
        <v>120000</v>
      </c>
      <c r="U334" s="9">
        <f>RANK(Table1[[#This Row],[Sales]],Table1[Sales])</f>
        <v>364</v>
      </c>
      <c r="V334" s="21">
        <f>SUM(N$2:N335)</f>
        <v>1049941.3875000009</v>
      </c>
    </row>
    <row r="335" spans="1:22" x14ac:dyDescent="0.25">
      <c r="A335" s="5" t="s">
        <v>785</v>
      </c>
      <c r="B335" s="6" t="s">
        <v>269</v>
      </c>
      <c r="C335" s="6" t="s">
        <v>269</v>
      </c>
      <c r="D335" s="7" t="s">
        <v>24</v>
      </c>
      <c r="E335" s="7" t="s">
        <v>31</v>
      </c>
      <c r="F335" s="7" t="s">
        <v>43</v>
      </c>
      <c r="G335" s="7" t="s">
        <v>44</v>
      </c>
      <c r="H335" s="7" t="s">
        <v>20</v>
      </c>
      <c r="I335" s="7" t="s">
        <v>139</v>
      </c>
      <c r="J335" s="7">
        <v>9</v>
      </c>
      <c r="K335" s="24">
        <v>199.58</v>
      </c>
      <c r="L335" s="8">
        <v>0.1</v>
      </c>
      <c r="M335" s="20">
        <v>151.97999999999999</v>
      </c>
      <c r="N335" s="21">
        <f>(Table1[[#This Row],[Quantity]]*Table1[[#This Row],[Unit Price]])*(1-Table1[[#This Row],[Discount]])</f>
        <v>1616.598</v>
      </c>
      <c r="O335" s="21">
        <f>(Table1[[#This Row],[Unit Price]]-Table1[[#This Row],[Unit Cost]])*Table1[[#This Row],[Quantity]]</f>
        <v>428.4000000000002</v>
      </c>
      <c r="P335" s="9" t="str">
        <f t="shared" si="5"/>
        <v>Standard</v>
      </c>
      <c r="Q335" s="9" t="str">
        <f>IF(Table1[[#This Row],[Discount]]&gt;=15%,"HIGH",IF(Table1[[#This Row],[Discount]]&gt;=55,"MEDIUM","NONE"))</f>
        <v>NONE</v>
      </c>
      <c r="R335" s="9">
        <f>Table1[[#This Row],[Ship Date]]-Table1[[#This Row],[Order Date]]</f>
        <v>0</v>
      </c>
      <c r="S335" s="9">
        <f>VLOOKUP(Table1[[#This Row],[Region]],Table2[],2,FALSE)</f>
        <v>150000</v>
      </c>
      <c r="T335" s="9">
        <f>INDEX(Table2[Quarterly Target],MATCH(Table1[[#This Row],[Region]],Table2[[Region ]],0))</f>
        <v>150000</v>
      </c>
      <c r="U335" s="9">
        <f>RANK(Table1[[#This Row],[Sales]],Table1[Sales])</f>
        <v>143</v>
      </c>
      <c r="V335" s="21">
        <f>SUM(N$2:N336)</f>
        <v>1063619.7875000008</v>
      </c>
    </row>
    <row r="336" spans="1:22" x14ac:dyDescent="0.25">
      <c r="A336" s="5" t="s">
        <v>786</v>
      </c>
      <c r="B336" s="6" t="s">
        <v>787</v>
      </c>
      <c r="C336" s="6" t="s">
        <v>787</v>
      </c>
      <c r="D336" s="7" t="s">
        <v>24</v>
      </c>
      <c r="E336" s="7" t="s">
        <v>117</v>
      </c>
      <c r="F336" s="7" t="s">
        <v>25</v>
      </c>
      <c r="G336" s="7" t="s">
        <v>26</v>
      </c>
      <c r="H336" s="7" t="s">
        <v>45</v>
      </c>
      <c r="I336" s="7" t="s">
        <v>46</v>
      </c>
      <c r="J336" s="7">
        <v>20</v>
      </c>
      <c r="K336" s="24">
        <v>683.92</v>
      </c>
      <c r="L336" s="8">
        <v>0</v>
      </c>
      <c r="M336" s="20">
        <v>460.03</v>
      </c>
      <c r="N336" s="21">
        <f>(Table1[[#This Row],[Quantity]]*Table1[[#This Row],[Unit Price]])*(1-Table1[[#This Row],[Discount]])</f>
        <v>13678.4</v>
      </c>
      <c r="O336" s="21">
        <f>(Table1[[#This Row],[Unit Price]]-Table1[[#This Row],[Unit Cost]])*Table1[[#This Row],[Quantity]]</f>
        <v>4477.7999999999993</v>
      </c>
      <c r="P336" s="9" t="str">
        <f t="shared" si="5"/>
        <v>Standard</v>
      </c>
      <c r="Q336" s="9" t="str">
        <f>IF(Table1[[#This Row],[Discount]]&gt;=15%,"HIGH",IF(Table1[[#This Row],[Discount]]&gt;=55,"MEDIUM","NONE"))</f>
        <v>NONE</v>
      </c>
      <c r="R336" s="9">
        <f>Table1[[#This Row],[Ship Date]]-Table1[[#This Row],[Order Date]]</f>
        <v>0</v>
      </c>
      <c r="S336" s="9">
        <f>VLOOKUP(Table1[[#This Row],[Region]],Table2[],2,FALSE)</f>
        <v>130000</v>
      </c>
      <c r="T336" s="9">
        <f>INDEX(Table2[Quarterly Target],MATCH(Table1[[#This Row],[Region]],Table2[[Region ]],0))</f>
        <v>130000</v>
      </c>
      <c r="U336" s="9">
        <f>RANK(Table1[[#This Row],[Sales]],Table1[Sales])</f>
        <v>23</v>
      </c>
      <c r="V336" s="21">
        <f>SUM(N$2:N337)</f>
        <v>1063715.9615000009</v>
      </c>
    </row>
    <row r="337" spans="1:22" x14ac:dyDescent="0.25">
      <c r="A337" s="5" t="s">
        <v>788</v>
      </c>
      <c r="B337" s="6" t="s">
        <v>197</v>
      </c>
      <c r="C337" s="6" t="s">
        <v>197</v>
      </c>
      <c r="D337" s="7" t="s">
        <v>24</v>
      </c>
      <c r="E337" s="7" t="s">
        <v>78</v>
      </c>
      <c r="F337" s="7" t="s">
        <v>25</v>
      </c>
      <c r="G337" s="7" t="s">
        <v>67</v>
      </c>
      <c r="H337" s="7" t="s">
        <v>33</v>
      </c>
      <c r="I337" s="7" t="s">
        <v>153</v>
      </c>
      <c r="J337" s="7">
        <v>6</v>
      </c>
      <c r="K337" s="24">
        <v>17.809999999999999</v>
      </c>
      <c r="L337" s="8">
        <v>0.1</v>
      </c>
      <c r="M337" s="20">
        <v>11.59</v>
      </c>
      <c r="N337" s="21">
        <f>(Table1[[#This Row],[Quantity]]*Table1[[#This Row],[Unit Price]])*(1-Table1[[#This Row],[Discount]])</f>
        <v>96.173999999999992</v>
      </c>
      <c r="O337" s="21">
        <f>(Table1[[#This Row],[Unit Price]]-Table1[[#This Row],[Unit Cost]])*Table1[[#This Row],[Quantity]]</f>
        <v>37.319999999999993</v>
      </c>
      <c r="P337" s="9" t="str">
        <f t="shared" si="5"/>
        <v>Bulk</v>
      </c>
      <c r="Q337" s="9" t="str">
        <f>IF(Table1[[#This Row],[Discount]]&gt;=15%,"HIGH",IF(Table1[[#This Row],[Discount]]&gt;=55,"MEDIUM","NONE"))</f>
        <v>NONE</v>
      </c>
      <c r="R337" s="9">
        <f>Table1[[#This Row],[Ship Date]]-Table1[[#This Row],[Order Date]]</f>
        <v>0</v>
      </c>
      <c r="S337" s="9">
        <f>VLOOKUP(Table1[[#This Row],[Region]],Table2[],2,FALSE)</f>
        <v>130000</v>
      </c>
      <c r="T337" s="9">
        <f>INDEX(Table2[Quarterly Target],MATCH(Table1[[#This Row],[Region]],Table2[[Region ]],0))</f>
        <v>130000</v>
      </c>
      <c r="U337" s="9">
        <f>RANK(Table1[[#This Row],[Sales]],Table1[Sales])</f>
        <v>359</v>
      </c>
      <c r="V337" s="21">
        <f>SUM(N$2:N338)</f>
        <v>1064022.5735000009</v>
      </c>
    </row>
    <row r="338" spans="1:22" x14ac:dyDescent="0.25">
      <c r="A338" s="5" t="s">
        <v>789</v>
      </c>
      <c r="B338" s="6" t="s">
        <v>604</v>
      </c>
      <c r="C338" s="6" t="s">
        <v>604</v>
      </c>
      <c r="D338" s="7" t="s">
        <v>24</v>
      </c>
      <c r="E338" s="7" t="s">
        <v>214</v>
      </c>
      <c r="F338" s="7" t="s">
        <v>18</v>
      </c>
      <c r="G338" s="7" t="s">
        <v>19</v>
      </c>
      <c r="H338" s="7" t="s">
        <v>33</v>
      </c>
      <c r="I338" s="7" t="s">
        <v>39</v>
      </c>
      <c r="J338" s="7">
        <v>17</v>
      </c>
      <c r="K338" s="24">
        <v>20.04</v>
      </c>
      <c r="L338" s="8">
        <v>0.1</v>
      </c>
      <c r="M338" s="20">
        <v>15.15</v>
      </c>
      <c r="N338" s="21">
        <f>(Table1[[#This Row],[Quantity]]*Table1[[#This Row],[Unit Price]])*(1-Table1[[#This Row],[Discount]])</f>
        <v>306.61200000000002</v>
      </c>
      <c r="O338" s="21">
        <f>(Table1[[#This Row],[Unit Price]]-Table1[[#This Row],[Unit Cost]])*Table1[[#This Row],[Quantity]]</f>
        <v>83.129999999999981</v>
      </c>
      <c r="P338" s="9" t="str">
        <f t="shared" si="5"/>
        <v>Standard</v>
      </c>
      <c r="Q338" s="9" t="str">
        <f>IF(Table1[[#This Row],[Discount]]&gt;=15%,"HIGH",IF(Table1[[#This Row],[Discount]]&gt;=55,"MEDIUM","NONE"))</f>
        <v>NONE</v>
      </c>
      <c r="R338" s="9">
        <f>Table1[[#This Row],[Ship Date]]-Table1[[#This Row],[Order Date]]</f>
        <v>0</v>
      </c>
      <c r="S338" s="9">
        <f>VLOOKUP(Table1[[#This Row],[Region]],Table2[],2,FALSE)</f>
        <v>140000</v>
      </c>
      <c r="T338" s="9">
        <f>INDEX(Table2[Quarterly Target],MATCH(Table1[[#This Row],[Region]],Table2[[Region ]],0))</f>
        <v>140000</v>
      </c>
      <c r="U338" s="9">
        <f>RANK(Table1[[#This Row],[Sales]],Table1[Sales])</f>
        <v>273</v>
      </c>
      <c r="V338" s="21">
        <f>SUM(N$2:N339)</f>
        <v>1064767.8675000009</v>
      </c>
    </row>
    <row r="339" spans="1:22" x14ac:dyDescent="0.25">
      <c r="A339" s="5" t="s">
        <v>790</v>
      </c>
      <c r="B339" s="6" t="s">
        <v>791</v>
      </c>
      <c r="C339" s="6" t="s">
        <v>293</v>
      </c>
      <c r="D339" s="7" t="s">
        <v>16</v>
      </c>
      <c r="E339" s="7" t="s">
        <v>112</v>
      </c>
      <c r="F339" s="7" t="s">
        <v>25</v>
      </c>
      <c r="G339" s="7" t="s">
        <v>19</v>
      </c>
      <c r="H339" s="7" t="s">
        <v>33</v>
      </c>
      <c r="I339" s="7" t="s">
        <v>76</v>
      </c>
      <c r="J339" s="7">
        <v>22</v>
      </c>
      <c r="K339" s="24">
        <v>35.659999999999997</v>
      </c>
      <c r="L339" s="8">
        <v>0.05</v>
      </c>
      <c r="M339" s="20">
        <v>27.78</v>
      </c>
      <c r="N339" s="21">
        <f>(Table1[[#This Row],[Quantity]]*Table1[[#This Row],[Unit Price]])*(1-Table1[[#This Row],[Discount]])</f>
        <v>745.29399999999998</v>
      </c>
      <c r="O339" s="21">
        <f>(Table1[[#This Row],[Unit Price]]-Table1[[#This Row],[Unit Cost]])*Table1[[#This Row],[Quantity]]</f>
        <v>173.3599999999999</v>
      </c>
      <c r="P339" s="9" t="str">
        <f t="shared" si="5"/>
        <v>Bulk</v>
      </c>
      <c r="Q339" s="9" t="str">
        <f>IF(Table1[[#This Row],[Discount]]&gt;=15%,"HIGH",IF(Table1[[#This Row],[Discount]]&gt;=55,"MEDIUM","NONE"))</f>
        <v>NONE</v>
      </c>
      <c r="R339" s="9">
        <f>Table1[[#This Row],[Ship Date]]-Table1[[#This Row],[Order Date]]</f>
        <v>4</v>
      </c>
      <c r="S339" s="9">
        <f>VLOOKUP(Table1[[#This Row],[Region]],Table2[],2,FALSE)</f>
        <v>130000</v>
      </c>
      <c r="T339" s="9">
        <f>INDEX(Table2[Quarterly Target],MATCH(Table1[[#This Row],[Region]],Table2[[Region ]],0))</f>
        <v>130000</v>
      </c>
      <c r="U339" s="9">
        <f>RANK(Table1[[#This Row],[Sales]],Table1[Sales])</f>
        <v>196</v>
      </c>
      <c r="V339" s="21">
        <f>SUM(N$2:N340)</f>
        <v>1064790.4095000008</v>
      </c>
    </row>
    <row r="340" spans="1:22" x14ac:dyDescent="0.25">
      <c r="A340" s="5" t="s">
        <v>792</v>
      </c>
      <c r="B340" s="6" t="s">
        <v>128</v>
      </c>
      <c r="C340" s="6" t="s">
        <v>793</v>
      </c>
      <c r="D340" s="7" t="s">
        <v>30</v>
      </c>
      <c r="E340" s="7" t="s">
        <v>206</v>
      </c>
      <c r="F340" s="7" t="s">
        <v>38</v>
      </c>
      <c r="G340" s="7" t="s">
        <v>82</v>
      </c>
      <c r="H340" s="7" t="s">
        <v>33</v>
      </c>
      <c r="I340" s="7" t="s">
        <v>34</v>
      </c>
      <c r="J340" s="7">
        <v>2</v>
      </c>
      <c r="K340" s="24">
        <v>13.26</v>
      </c>
      <c r="L340" s="8">
        <v>0.15</v>
      </c>
      <c r="M340" s="20">
        <v>7.93</v>
      </c>
      <c r="N340" s="21">
        <f>(Table1[[#This Row],[Quantity]]*Table1[[#This Row],[Unit Price]])*(1-Table1[[#This Row],[Discount]])</f>
        <v>22.541999999999998</v>
      </c>
      <c r="O340" s="21">
        <f>(Table1[[#This Row],[Unit Price]]-Table1[[#This Row],[Unit Cost]])*Table1[[#This Row],[Quantity]]</f>
        <v>10.66</v>
      </c>
      <c r="P340" s="9" t="str">
        <f t="shared" si="5"/>
        <v>Bulk</v>
      </c>
      <c r="Q340" s="9" t="str">
        <f>IF(Table1[[#This Row],[Discount]]&gt;=15%,"HIGH",IF(Table1[[#This Row],[Discount]]&gt;=55,"MEDIUM","NONE"))</f>
        <v>HIGH</v>
      </c>
      <c r="R340" s="9">
        <f>Table1[[#This Row],[Ship Date]]-Table1[[#This Row],[Order Date]]</f>
        <v>2</v>
      </c>
      <c r="S340" s="9">
        <f>VLOOKUP(Table1[[#This Row],[Region]],Table2[],2,FALSE)</f>
        <v>120000</v>
      </c>
      <c r="T340" s="9">
        <f>INDEX(Table2[Quarterly Target],MATCH(Table1[[#This Row],[Region]],Table2[[Region ]],0))</f>
        <v>120000</v>
      </c>
      <c r="U340" s="9">
        <f>RANK(Table1[[#This Row],[Sales]],Table1[Sales])</f>
        <v>394</v>
      </c>
      <c r="V340" s="21">
        <f>SUM(N$2:N341)</f>
        <v>1078944.5495000007</v>
      </c>
    </row>
    <row r="341" spans="1:22" x14ac:dyDescent="0.25">
      <c r="A341" s="5" t="s">
        <v>794</v>
      </c>
      <c r="B341" s="6" t="s">
        <v>180</v>
      </c>
      <c r="C341" s="6" t="s">
        <v>180</v>
      </c>
      <c r="D341" s="7" t="s">
        <v>24</v>
      </c>
      <c r="E341" s="7" t="s">
        <v>87</v>
      </c>
      <c r="F341" s="7" t="s">
        <v>43</v>
      </c>
      <c r="G341" s="7" t="s">
        <v>19</v>
      </c>
      <c r="H341" s="7" t="s">
        <v>20</v>
      </c>
      <c r="I341" s="7" t="s">
        <v>151</v>
      </c>
      <c r="J341" s="7">
        <v>14</v>
      </c>
      <c r="K341" s="24">
        <v>1011.01</v>
      </c>
      <c r="L341" s="8">
        <v>0</v>
      </c>
      <c r="M341" s="20">
        <v>691.97</v>
      </c>
      <c r="N341" s="21">
        <f>(Table1[[#This Row],[Quantity]]*Table1[[#This Row],[Unit Price]])*(1-Table1[[#This Row],[Discount]])</f>
        <v>14154.14</v>
      </c>
      <c r="O341" s="21">
        <f>(Table1[[#This Row],[Unit Price]]-Table1[[#This Row],[Unit Cost]])*Table1[[#This Row],[Quantity]]</f>
        <v>4466.5599999999995</v>
      </c>
      <c r="P341" s="9" t="str">
        <f t="shared" si="5"/>
        <v>Standard</v>
      </c>
      <c r="Q341" s="9" t="str">
        <f>IF(Table1[[#This Row],[Discount]]&gt;=15%,"HIGH",IF(Table1[[#This Row],[Discount]]&gt;=55,"MEDIUM","NONE"))</f>
        <v>NONE</v>
      </c>
      <c r="R341" s="9">
        <f>Table1[[#This Row],[Ship Date]]-Table1[[#This Row],[Order Date]]</f>
        <v>0</v>
      </c>
      <c r="S341" s="9">
        <f>VLOOKUP(Table1[[#This Row],[Region]],Table2[],2,FALSE)</f>
        <v>150000</v>
      </c>
      <c r="T341" s="9">
        <f>INDEX(Table2[Quarterly Target],MATCH(Table1[[#This Row],[Region]],Table2[[Region ]],0))</f>
        <v>150000</v>
      </c>
      <c r="U341" s="9">
        <f>RANK(Table1[[#This Row],[Sales]],Table1[Sales])</f>
        <v>21</v>
      </c>
      <c r="V341" s="21">
        <f>SUM(N$2:N342)</f>
        <v>1079184.9335000007</v>
      </c>
    </row>
    <row r="342" spans="1:22" x14ac:dyDescent="0.25">
      <c r="A342" s="5" t="s">
        <v>795</v>
      </c>
      <c r="B342" s="6" t="s">
        <v>651</v>
      </c>
      <c r="C342" s="6" t="s">
        <v>796</v>
      </c>
      <c r="D342" s="7" t="s">
        <v>16</v>
      </c>
      <c r="E342" s="7" t="s">
        <v>117</v>
      </c>
      <c r="F342" s="7" t="s">
        <v>60</v>
      </c>
      <c r="G342" s="7" t="s">
        <v>26</v>
      </c>
      <c r="H342" s="7" t="s">
        <v>45</v>
      </c>
      <c r="I342" s="7" t="s">
        <v>46</v>
      </c>
      <c r="J342" s="7">
        <v>3</v>
      </c>
      <c r="K342" s="24">
        <v>100.16</v>
      </c>
      <c r="L342" s="8">
        <v>0.2</v>
      </c>
      <c r="M342" s="20">
        <v>61.4</v>
      </c>
      <c r="N342" s="21">
        <f>(Table1[[#This Row],[Quantity]]*Table1[[#This Row],[Unit Price]])*(1-Table1[[#This Row],[Discount]])</f>
        <v>240.38400000000001</v>
      </c>
      <c r="O342" s="21">
        <f>(Table1[[#This Row],[Unit Price]]-Table1[[#This Row],[Unit Cost]])*Table1[[#This Row],[Quantity]]</f>
        <v>116.28</v>
      </c>
      <c r="P342" s="9" t="str">
        <f t="shared" si="5"/>
        <v>Bulk</v>
      </c>
      <c r="Q342" s="9" t="str">
        <f>IF(Table1[[#This Row],[Discount]]&gt;=15%,"HIGH",IF(Table1[[#This Row],[Discount]]&gt;=55,"MEDIUM","NONE"))</f>
        <v>HIGH</v>
      </c>
      <c r="R342" s="9">
        <f>Table1[[#This Row],[Ship Date]]-Table1[[#This Row],[Order Date]]</f>
        <v>4</v>
      </c>
      <c r="S342" s="9">
        <f>VLOOKUP(Table1[[#This Row],[Region]],Table2[],2,FALSE)</f>
        <v>160000</v>
      </c>
      <c r="T342" s="9">
        <f>INDEX(Table2[Quarterly Target],MATCH(Table1[[#This Row],[Region]],Table2[[Region ]],0))</f>
        <v>160000</v>
      </c>
      <c r="U342" s="9">
        <f>RANK(Table1[[#This Row],[Sales]],Table1[Sales])</f>
        <v>295</v>
      </c>
      <c r="V342" s="21">
        <f>SUM(N$2:N343)</f>
        <v>1079226.0935000007</v>
      </c>
    </row>
    <row r="343" spans="1:22" x14ac:dyDescent="0.25">
      <c r="A343" s="5" t="s">
        <v>797</v>
      </c>
      <c r="B343" s="6" t="s">
        <v>793</v>
      </c>
      <c r="C343" s="6" t="s">
        <v>798</v>
      </c>
      <c r="D343" s="7" t="s">
        <v>30</v>
      </c>
      <c r="E343" s="7" t="s">
        <v>55</v>
      </c>
      <c r="F343" s="7" t="s">
        <v>60</v>
      </c>
      <c r="G343" s="7" t="s">
        <v>97</v>
      </c>
      <c r="H343" s="7" t="s">
        <v>61</v>
      </c>
      <c r="I343" s="7" t="s">
        <v>62</v>
      </c>
      <c r="J343" s="7">
        <v>1</v>
      </c>
      <c r="K343" s="24">
        <v>41.16</v>
      </c>
      <c r="L343" s="8">
        <v>0</v>
      </c>
      <c r="M343" s="20">
        <v>28.14</v>
      </c>
      <c r="N343" s="21">
        <f>(Table1[[#This Row],[Quantity]]*Table1[[#This Row],[Unit Price]])*(1-Table1[[#This Row],[Discount]])</f>
        <v>41.16</v>
      </c>
      <c r="O343" s="21">
        <f>(Table1[[#This Row],[Unit Price]]-Table1[[#This Row],[Unit Cost]])*Table1[[#This Row],[Quantity]]</f>
        <v>13.019999999999996</v>
      </c>
      <c r="P343" s="9" t="str">
        <f t="shared" si="5"/>
        <v>Standard</v>
      </c>
      <c r="Q343" s="9" t="str">
        <f>IF(Table1[[#This Row],[Discount]]&gt;=15%,"HIGH",IF(Table1[[#This Row],[Discount]]&gt;=55,"MEDIUM","NONE"))</f>
        <v>NONE</v>
      </c>
      <c r="R343" s="9">
        <f>Table1[[#This Row],[Ship Date]]-Table1[[#This Row],[Order Date]]</f>
        <v>2</v>
      </c>
      <c r="S343" s="9">
        <f>VLOOKUP(Table1[[#This Row],[Region]],Table2[],2,FALSE)</f>
        <v>160000</v>
      </c>
      <c r="T343" s="9">
        <f>INDEX(Table2[Quarterly Target],MATCH(Table1[[#This Row],[Region]],Table2[[Region ]],0))</f>
        <v>160000</v>
      </c>
      <c r="U343" s="9">
        <f>RANK(Table1[[#This Row],[Sales]],Table1[Sales])</f>
        <v>387</v>
      </c>
      <c r="V343" s="21">
        <f>SUM(N$2:N344)</f>
        <v>1086701.5935000007</v>
      </c>
    </row>
    <row r="344" spans="1:22" x14ac:dyDescent="0.25">
      <c r="A344" s="5" t="s">
        <v>799</v>
      </c>
      <c r="B344" s="6" t="s">
        <v>634</v>
      </c>
      <c r="C344" s="6" t="s">
        <v>634</v>
      </c>
      <c r="D344" s="7" t="s">
        <v>24</v>
      </c>
      <c r="E344" s="7" t="s">
        <v>96</v>
      </c>
      <c r="F344" s="7" t="s">
        <v>38</v>
      </c>
      <c r="G344" s="7" t="s">
        <v>44</v>
      </c>
      <c r="H344" s="7" t="s">
        <v>20</v>
      </c>
      <c r="I344" s="7" t="s">
        <v>134</v>
      </c>
      <c r="J344" s="7">
        <v>10</v>
      </c>
      <c r="K344" s="24">
        <v>747.55</v>
      </c>
      <c r="L344" s="8">
        <v>0</v>
      </c>
      <c r="M344" s="20">
        <v>554.16999999999996</v>
      </c>
      <c r="N344" s="21">
        <f>(Table1[[#This Row],[Quantity]]*Table1[[#This Row],[Unit Price]])*(1-Table1[[#This Row],[Discount]])</f>
        <v>7475.5</v>
      </c>
      <c r="O344" s="21">
        <f>(Table1[[#This Row],[Unit Price]]-Table1[[#This Row],[Unit Cost]])*Table1[[#This Row],[Quantity]]</f>
        <v>1933.8</v>
      </c>
      <c r="P344" s="9" t="str">
        <f t="shared" si="5"/>
        <v>Standard</v>
      </c>
      <c r="Q344" s="9" t="str">
        <f>IF(Table1[[#This Row],[Discount]]&gt;=15%,"HIGH",IF(Table1[[#This Row],[Discount]]&gt;=55,"MEDIUM","NONE"))</f>
        <v>NONE</v>
      </c>
      <c r="R344" s="9">
        <f>Table1[[#This Row],[Ship Date]]-Table1[[#This Row],[Order Date]]</f>
        <v>0</v>
      </c>
      <c r="S344" s="9">
        <f>VLOOKUP(Table1[[#This Row],[Region]],Table2[],2,FALSE)</f>
        <v>120000</v>
      </c>
      <c r="T344" s="9">
        <f>INDEX(Table2[Quarterly Target],MATCH(Table1[[#This Row],[Region]],Table2[[Region ]],0))</f>
        <v>120000</v>
      </c>
      <c r="U344" s="9">
        <f>RANK(Table1[[#This Row],[Sales]],Table1[Sales])</f>
        <v>65</v>
      </c>
      <c r="V344" s="21">
        <f>SUM(N$2:N345)</f>
        <v>1096294.6815000006</v>
      </c>
    </row>
    <row r="345" spans="1:22" x14ac:dyDescent="0.25">
      <c r="A345" s="5" t="s">
        <v>800</v>
      </c>
      <c r="B345" s="6" t="s">
        <v>616</v>
      </c>
      <c r="C345" s="6" t="s">
        <v>801</v>
      </c>
      <c r="D345" s="7" t="s">
        <v>16</v>
      </c>
      <c r="E345" s="7" t="s">
        <v>122</v>
      </c>
      <c r="F345" s="7" t="s">
        <v>25</v>
      </c>
      <c r="G345" s="7" t="s">
        <v>19</v>
      </c>
      <c r="H345" s="7" t="s">
        <v>20</v>
      </c>
      <c r="I345" s="7" t="s">
        <v>139</v>
      </c>
      <c r="J345" s="7">
        <v>24</v>
      </c>
      <c r="K345" s="24">
        <v>499.64</v>
      </c>
      <c r="L345" s="8">
        <v>0.2</v>
      </c>
      <c r="M345" s="20">
        <v>380.91</v>
      </c>
      <c r="N345" s="21">
        <f>(Table1[[#This Row],[Quantity]]*Table1[[#This Row],[Unit Price]])*(1-Table1[[#This Row],[Discount]])</f>
        <v>9593.0880000000016</v>
      </c>
      <c r="O345" s="21">
        <f>(Table1[[#This Row],[Unit Price]]-Table1[[#This Row],[Unit Cost]])*Table1[[#This Row],[Quantity]]</f>
        <v>2849.5199999999991</v>
      </c>
      <c r="P345" s="9" t="str">
        <f t="shared" si="5"/>
        <v>Standard</v>
      </c>
      <c r="Q345" s="9" t="str">
        <f>IF(Table1[[#This Row],[Discount]]&gt;=15%,"HIGH",IF(Table1[[#This Row],[Discount]]&gt;=55,"MEDIUM","NONE"))</f>
        <v>HIGH</v>
      </c>
      <c r="R345" s="9">
        <f>Table1[[#This Row],[Ship Date]]-Table1[[#This Row],[Order Date]]</f>
        <v>6</v>
      </c>
      <c r="S345" s="9">
        <f>VLOOKUP(Table1[[#This Row],[Region]],Table2[],2,FALSE)</f>
        <v>130000</v>
      </c>
      <c r="T345" s="9">
        <f>INDEX(Table2[Quarterly Target],MATCH(Table1[[#This Row],[Region]],Table2[[Region ]],0))</f>
        <v>130000</v>
      </c>
      <c r="U345" s="9">
        <f>RANK(Table1[[#This Row],[Sales]],Table1[Sales])</f>
        <v>47</v>
      </c>
      <c r="V345" s="21">
        <f>SUM(N$2:N346)</f>
        <v>1096298.6235000007</v>
      </c>
    </row>
    <row r="346" spans="1:22" x14ac:dyDescent="0.25">
      <c r="A346" s="5" t="s">
        <v>802</v>
      </c>
      <c r="B346" s="6" t="s">
        <v>803</v>
      </c>
      <c r="C346" s="6" t="s">
        <v>804</v>
      </c>
      <c r="D346" s="7" t="s">
        <v>16</v>
      </c>
      <c r="E346" s="7" t="s">
        <v>122</v>
      </c>
      <c r="F346" s="7" t="s">
        <v>38</v>
      </c>
      <c r="G346" s="7" t="s">
        <v>50</v>
      </c>
      <c r="H346" s="7" t="s">
        <v>33</v>
      </c>
      <c r="I346" s="7" t="s">
        <v>34</v>
      </c>
      <c r="J346" s="7">
        <v>2</v>
      </c>
      <c r="K346" s="24">
        <v>2.19</v>
      </c>
      <c r="L346" s="8">
        <v>0.1</v>
      </c>
      <c r="M346" s="20">
        <v>1.42</v>
      </c>
      <c r="N346" s="21">
        <f>(Table1[[#This Row],[Quantity]]*Table1[[#This Row],[Unit Price]])*(1-Table1[[#This Row],[Discount]])</f>
        <v>3.9420000000000002</v>
      </c>
      <c r="O346" s="21">
        <f>(Table1[[#This Row],[Unit Price]]-Table1[[#This Row],[Unit Cost]])*Table1[[#This Row],[Quantity]]</f>
        <v>1.54</v>
      </c>
      <c r="P346" s="9" t="str">
        <f t="shared" si="5"/>
        <v>Bulk</v>
      </c>
      <c r="Q346" s="9" t="str">
        <f>IF(Table1[[#This Row],[Discount]]&gt;=15%,"HIGH",IF(Table1[[#This Row],[Discount]]&gt;=55,"MEDIUM","NONE"))</f>
        <v>NONE</v>
      </c>
      <c r="R346" s="9">
        <f>Table1[[#This Row],[Ship Date]]-Table1[[#This Row],[Order Date]]</f>
        <v>4</v>
      </c>
      <c r="S346" s="9">
        <f>VLOOKUP(Table1[[#This Row],[Region]],Table2[],2,FALSE)</f>
        <v>120000</v>
      </c>
      <c r="T346" s="9">
        <f>INDEX(Table2[Quarterly Target],MATCH(Table1[[#This Row],[Region]],Table2[[Region ]],0))</f>
        <v>120000</v>
      </c>
      <c r="U346" s="9">
        <f>RANK(Table1[[#This Row],[Sales]],Table1[Sales])</f>
        <v>400</v>
      </c>
      <c r="V346" s="21">
        <f>SUM(N$2:N347)</f>
        <v>1096348.4955000007</v>
      </c>
    </row>
    <row r="347" spans="1:22" x14ac:dyDescent="0.25">
      <c r="A347" s="5" t="s">
        <v>805</v>
      </c>
      <c r="B347" s="6" t="s">
        <v>806</v>
      </c>
      <c r="C347" s="6" t="s">
        <v>403</v>
      </c>
      <c r="D347" s="7" t="s">
        <v>16</v>
      </c>
      <c r="E347" s="7" t="s">
        <v>71</v>
      </c>
      <c r="F347" s="7" t="s">
        <v>60</v>
      </c>
      <c r="G347" s="7" t="s">
        <v>50</v>
      </c>
      <c r="H347" s="7" t="s">
        <v>33</v>
      </c>
      <c r="I347" s="7" t="s">
        <v>51</v>
      </c>
      <c r="J347" s="7">
        <v>6</v>
      </c>
      <c r="K347" s="24">
        <v>10.39</v>
      </c>
      <c r="L347" s="8">
        <v>0.2</v>
      </c>
      <c r="M347" s="20">
        <v>6.37</v>
      </c>
      <c r="N347" s="21">
        <f>(Table1[[#This Row],[Quantity]]*Table1[[#This Row],[Unit Price]])*(1-Table1[[#This Row],[Discount]])</f>
        <v>49.872000000000007</v>
      </c>
      <c r="O347" s="21">
        <f>(Table1[[#This Row],[Unit Price]]-Table1[[#This Row],[Unit Cost]])*Table1[[#This Row],[Quantity]]</f>
        <v>24.120000000000005</v>
      </c>
      <c r="P347" s="9" t="str">
        <f t="shared" si="5"/>
        <v>Standard</v>
      </c>
      <c r="Q347" s="9" t="str">
        <f>IF(Table1[[#This Row],[Discount]]&gt;=15%,"HIGH",IF(Table1[[#This Row],[Discount]]&gt;=55,"MEDIUM","NONE"))</f>
        <v>HIGH</v>
      </c>
      <c r="R347" s="9">
        <f>Table1[[#This Row],[Ship Date]]-Table1[[#This Row],[Order Date]]</f>
        <v>4</v>
      </c>
      <c r="S347" s="9">
        <f>VLOOKUP(Table1[[#This Row],[Region]],Table2[],2,FALSE)</f>
        <v>160000</v>
      </c>
      <c r="T347" s="9">
        <f>INDEX(Table2[Quarterly Target],MATCH(Table1[[#This Row],[Region]],Table2[[Region ]],0))</f>
        <v>160000</v>
      </c>
      <c r="U347" s="9">
        <f>RANK(Table1[[#This Row],[Sales]],Table1[Sales])</f>
        <v>380</v>
      </c>
      <c r="V347" s="21">
        <f>SUM(N$2:N348)</f>
        <v>1099152.8355000007</v>
      </c>
    </row>
    <row r="348" spans="1:22" x14ac:dyDescent="0.25">
      <c r="A348" s="5" t="s">
        <v>807</v>
      </c>
      <c r="B348" s="6" t="s">
        <v>720</v>
      </c>
      <c r="C348" s="6" t="s">
        <v>721</v>
      </c>
      <c r="D348" s="7" t="s">
        <v>30</v>
      </c>
      <c r="E348" s="7" t="s">
        <v>122</v>
      </c>
      <c r="F348" s="7" t="s">
        <v>60</v>
      </c>
      <c r="G348" s="7" t="s">
        <v>67</v>
      </c>
      <c r="H348" s="7" t="s">
        <v>20</v>
      </c>
      <c r="I348" s="7" t="s">
        <v>192</v>
      </c>
      <c r="J348" s="7">
        <v>22</v>
      </c>
      <c r="K348" s="24">
        <v>127.47</v>
      </c>
      <c r="L348" s="8">
        <v>0</v>
      </c>
      <c r="M348" s="20">
        <v>76.400000000000006</v>
      </c>
      <c r="N348" s="21">
        <f>(Table1[[#This Row],[Quantity]]*Table1[[#This Row],[Unit Price]])*(1-Table1[[#This Row],[Discount]])</f>
        <v>2804.34</v>
      </c>
      <c r="O348" s="21">
        <f>(Table1[[#This Row],[Unit Price]]-Table1[[#This Row],[Unit Cost]])*Table1[[#This Row],[Quantity]]</f>
        <v>1123.54</v>
      </c>
      <c r="P348" s="9" t="str">
        <f t="shared" si="5"/>
        <v>Standard</v>
      </c>
      <c r="Q348" s="9" t="str">
        <f>IF(Table1[[#This Row],[Discount]]&gt;=15%,"HIGH",IF(Table1[[#This Row],[Discount]]&gt;=55,"MEDIUM","NONE"))</f>
        <v>NONE</v>
      </c>
      <c r="R348" s="9">
        <f>Table1[[#This Row],[Ship Date]]-Table1[[#This Row],[Order Date]]</f>
        <v>3</v>
      </c>
      <c r="S348" s="9">
        <f>VLOOKUP(Table1[[#This Row],[Region]],Table2[],2,FALSE)</f>
        <v>160000</v>
      </c>
      <c r="T348" s="9">
        <f>INDEX(Table2[Quarterly Target],MATCH(Table1[[#This Row],[Region]],Table2[[Region ]],0))</f>
        <v>160000</v>
      </c>
      <c r="U348" s="9">
        <f>RANK(Table1[[#This Row],[Sales]],Table1[Sales])</f>
        <v>126</v>
      </c>
      <c r="V348" s="21">
        <f>SUM(N$2:N349)</f>
        <v>1103767.7755000007</v>
      </c>
    </row>
    <row r="349" spans="1:22" x14ac:dyDescent="0.25">
      <c r="A349" s="5" t="s">
        <v>808</v>
      </c>
      <c r="B349" s="6" t="s">
        <v>809</v>
      </c>
      <c r="C349" s="6" t="s">
        <v>611</v>
      </c>
      <c r="D349" s="7" t="s">
        <v>16</v>
      </c>
      <c r="E349" s="7" t="s">
        <v>214</v>
      </c>
      <c r="F349" s="7" t="s">
        <v>43</v>
      </c>
      <c r="G349" s="7" t="s">
        <v>67</v>
      </c>
      <c r="H349" s="7" t="s">
        <v>45</v>
      </c>
      <c r="I349" s="7" t="s">
        <v>68</v>
      </c>
      <c r="J349" s="7">
        <v>11</v>
      </c>
      <c r="K349" s="24">
        <v>419.54</v>
      </c>
      <c r="L349" s="8">
        <v>0</v>
      </c>
      <c r="M349" s="20">
        <v>295.39</v>
      </c>
      <c r="N349" s="21">
        <f>(Table1[[#This Row],[Quantity]]*Table1[[#This Row],[Unit Price]])*(1-Table1[[#This Row],[Discount]])</f>
        <v>4614.9400000000005</v>
      </c>
      <c r="O349" s="21">
        <f>(Table1[[#This Row],[Unit Price]]-Table1[[#This Row],[Unit Cost]])*Table1[[#This Row],[Quantity]]</f>
        <v>1365.6500000000003</v>
      </c>
      <c r="P349" s="9" t="str">
        <f t="shared" si="5"/>
        <v>Bulk</v>
      </c>
      <c r="Q349" s="9" t="str">
        <f>IF(Table1[[#This Row],[Discount]]&gt;=15%,"HIGH",IF(Table1[[#This Row],[Discount]]&gt;=55,"MEDIUM","NONE"))</f>
        <v>NONE</v>
      </c>
      <c r="R349" s="9">
        <f>Table1[[#This Row],[Ship Date]]-Table1[[#This Row],[Order Date]]</f>
        <v>6</v>
      </c>
      <c r="S349" s="9">
        <f>VLOOKUP(Table1[[#This Row],[Region]],Table2[],2,FALSE)</f>
        <v>150000</v>
      </c>
      <c r="T349" s="9">
        <f>INDEX(Table2[Quarterly Target],MATCH(Table1[[#This Row],[Region]],Table2[[Region ]],0))</f>
        <v>150000</v>
      </c>
      <c r="U349" s="9">
        <f>RANK(Table1[[#This Row],[Sales]],Table1[Sales])</f>
        <v>100</v>
      </c>
      <c r="V349" s="21">
        <f>SUM(N$2:N350)</f>
        <v>1103984.4235000007</v>
      </c>
    </row>
    <row r="350" spans="1:22" x14ac:dyDescent="0.25">
      <c r="A350" s="5" t="s">
        <v>810</v>
      </c>
      <c r="B350" s="6" t="s">
        <v>520</v>
      </c>
      <c r="C350" s="6" t="s">
        <v>811</v>
      </c>
      <c r="D350" s="7" t="s">
        <v>30</v>
      </c>
      <c r="E350" s="7" t="s">
        <v>78</v>
      </c>
      <c r="F350" s="7" t="s">
        <v>60</v>
      </c>
      <c r="G350" s="7" t="s">
        <v>26</v>
      </c>
      <c r="H350" s="7" t="s">
        <v>33</v>
      </c>
      <c r="I350" s="7" t="s">
        <v>39</v>
      </c>
      <c r="J350" s="7">
        <v>8</v>
      </c>
      <c r="K350" s="24">
        <v>31.86</v>
      </c>
      <c r="L350" s="8">
        <v>0.15</v>
      </c>
      <c r="M350" s="20">
        <v>23.42</v>
      </c>
      <c r="N350" s="21">
        <f>(Table1[[#This Row],[Quantity]]*Table1[[#This Row],[Unit Price]])*(1-Table1[[#This Row],[Discount]])</f>
        <v>216.648</v>
      </c>
      <c r="O350" s="21">
        <f>(Table1[[#This Row],[Unit Price]]-Table1[[#This Row],[Unit Cost]])*Table1[[#This Row],[Quantity]]</f>
        <v>67.519999999999982</v>
      </c>
      <c r="P350" s="9" t="str">
        <f t="shared" si="5"/>
        <v>Bulk</v>
      </c>
      <c r="Q350" s="9" t="str">
        <f>IF(Table1[[#This Row],[Discount]]&gt;=15%,"HIGH",IF(Table1[[#This Row],[Discount]]&gt;=55,"MEDIUM","NONE"))</f>
        <v>HIGH</v>
      </c>
      <c r="R350" s="9">
        <f>Table1[[#This Row],[Ship Date]]-Table1[[#This Row],[Order Date]]</f>
        <v>3</v>
      </c>
      <c r="S350" s="9">
        <f>VLOOKUP(Table1[[#This Row],[Region]],Table2[],2,FALSE)</f>
        <v>160000</v>
      </c>
      <c r="T350" s="9">
        <f>INDEX(Table2[Quarterly Target],MATCH(Table1[[#This Row],[Region]],Table2[[Region ]],0))</f>
        <v>160000</v>
      </c>
      <c r="U350" s="9">
        <f>RANK(Table1[[#This Row],[Sales]],Table1[Sales])</f>
        <v>301</v>
      </c>
      <c r="V350" s="21">
        <f>SUM(N$2:N351)</f>
        <v>1110420.5485000007</v>
      </c>
    </row>
    <row r="351" spans="1:22" x14ac:dyDescent="0.25">
      <c r="A351" s="5" t="s">
        <v>812</v>
      </c>
      <c r="B351" s="6" t="s">
        <v>813</v>
      </c>
      <c r="C351" s="6" t="s">
        <v>611</v>
      </c>
      <c r="D351" s="7" t="s">
        <v>30</v>
      </c>
      <c r="E351" s="7" t="s">
        <v>75</v>
      </c>
      <c r="F351" s="7" t="s">
        <v>60</v>
      </c>
      <c r="G351" s="7" t="s">
        <v>82</v>
      </c>
      <c r="H351" s="7" t="s">
        <v>45</v>
      </c>
      <c r="I351" s="7" t="s">
        <v>148</v>
      </c>
      <c r="J351" s="7">
        <v>25</v>
      </c>
      <c r="K351" s="24">
        <v>286.05</v>
      </c>
      <c r="L351" s="8">
        <v>0.1</v>
      </c>
      <c r="M351" s="20">
        <v>165.11</v>
      </c>
      <c r="N351" s="21">
        <f>(Table1[[#This Row],[Quantity]]*Table1[[#This Row],[Unit Price]])*(1-Table1[[#This Row],[Discount]])</f>
        <v>6436.125</v>
      </c>
      <c r="O351" s="21">
        <f>(Table1[[#This Row],[Unit Price]]-Table1[[#This Row],[Unit Cost]])*Table1[[#This Row],[Quantity]]</f>
        <v>3023.5</v>
      </c>
      <c r="P351" s="9" t="str">
        <f t="shared" si="5"/>
        <v>Standard</v>
      </c>
      <c r="Q351" s="9" t="str">
        <f>IF(Table1[[#This Row],[Discount]]&gt;=15%,"HIGH",IF(Table1[[#This Row],[Discount]]&gt;=55,"MEDIUM","NONE"))</f>
        <v>NONE</v>
      </c>
      <c r="R351" s="9">
        <f>Table1[[#This Row],[Ship Date]]-Table1[[#This Row],[Order Date]]</f>
        <v>3</v>
      </c>
      <c r="S351" s="9">
        <f>VLOOKUP(Table1[[#This Row],[Region]],Table2[],2,FALSE)</f>
        <v>160000</v>
      </c>
      <c r="T351" s="9">
        <f>INDEX(Table2[Quarterly Target],MATCH(Table1[[#This Row],[Region]],Table2[[Region ]],0))</f>
        <v>160000</v>
      </c>
      <c r="U351" s="9">
        <f>RANK(Table1[[#This Row],[Sales]],Table1[Sales])</f>
        <v>81</v>
      </c>
      <c r="V351" s="21">
        <f>SUM(N$2:N352)</f>
        <v>1111990.7605000008</v>
      </c>
    </row>
    <row r="352" spans="1:22" x14ac:dyDescent="0.25">
      <c r="A352" s="5" t="s">
        <v>814</v>
      </c>
      <c r="B352" s="6" t="s">
        <v>815</v>
      </c>
      <c r="C352" s="6" t="s">
        <v>815</v>
      </c>
      <c r="D352" s="7" t="s">
        <v>24</v>
      </c>
      <c r="E352" s="7" t="s">
        <v>49</v>
      </c>
      <c r="F352" s="7" t="s">
        <v>43</v>
      </c>
      <c r="G352" s="7" t="s">
        <v>26</v>
      </c>
      <c r="H352" s="7" t="s">
        <v>45</v>
      </c>
      <c r="I352" s="7" t="s">
        <v>148</v>
      </c>
      <c r="J352" s="7">
        <v>21</v>
      </c>
      <c r="K352" s="24">
        <v>83.08</v>
      </c>
      <c r="L352" s="8">
        <v>0.1</v>
      </c>
      <c r="M352" s="20">
        <v>57.72</v>
      </c>
      <c r="N352" s="21">
        <f>(Table1[[#This Row],[Quantity]]*Table1[[#This Row],[Unit Price]])*(1-Table1[[#This Row],[Discount]])</f>
        <v>1570.212</v>
      </c>
      <c r="O352" s="21">
        <f>(Table1[[#This Row],[Unit Price]]-Table1[[#This Row],[Unit Cost]])*Table1[[#This Row],[Quantity]]</f>
        <v>532.55999999999995</v>
      </c>
      <c r="P352" s="9" t="str">
        <f t="shared" si="5"/>
        <v>Bulk</v>
      </c>
      <c r="Q352" s="9" t="str">
        <f>IF(Table1[[#This Row],[Discount]]&gt;=15%,"HIGH",IF(Table1[[#This Row],[Discount]]&gt;=55,"MEDIUM","NONE"))</f>
        <v>NONE</v>
      </c>
      <c r="R352" s="9">
        <f>Table1[[#This Row],[Ship Date]]-Table1[[#This Row],[Order Date]]</f>
        <v>0</v>
      </c>
      <c r="S352" s="9">
        <f>VLOOKUP(Table1[[#This Row],[Region]],Table2[],2,FALSE)</f>
        <v>150000</v>
      </c>
      <c r="T352" s="9">
        <f>INDEX(Table2[Quarterly Target],MATCH(Table1[[#This Row],[Region]],Table2[[Region ]],0))</f>
        <v>150000</v>
      </c>
      <c r="U352" s="9">
        <f>RANK(Table1[[#This Row],[Sales]],Table1[Sales])</f>
        <v>146</v>
      </c>
      <c r="V352" s="21">
        <f>SUM(N$2:N353)</f>
        <v>1112099.8565000007</v>
      </c>
    </row>
    <row r="353" spans="1:22" x14ac:dyDescent="0.25">
      <c r="A353" s="5" t="s">
        <v>816</v>
      </c>
      <c r="B353" s="6" t="s">
        <v>130</v>
      </c>
      <c r="C353" s="6" t="s">
        <v>817</v>
      </c>
      <c r="D353" s="7" t="s">
        <v>30</v>
      </c>
      <c r="E353" s="7" t="s">
        <v>66</v>
      </c>
      <c r="F353" s="7" t="s">
        <v>38</v>
      </c>
      <c r="G353" s="7" t="s">
        <v>50</v>
      </c>
      <c r="H353" s="7" t="s">
        <v>33</v>
      </c>
      <c r="I353" s="7" t="s">
        <v>153</v>
      </c>
      <c r="J353" s="7">
        <v>13</v>
      </c>
      <c r="K353" s="24">
        <v>10.49</v>
      </c>
      <c r="L353" s="8">
        <v>0.2</v>
      </c>
      <c r="M353" s="20">
        <v>7.32</v>
      </c>
      <c r="N353" s="21">
        <f>(Table1[[#This Row],[Quantity]]*Table1[[#This Row],[Unit Price]])*(1-Table1[[#This Row],[Discount]])</f>
        <v>109.096</v>
      </c>
      <c r="O353" s="21">
        <f>(Table1[[#This Row],[Unit Price]]-Table1[[#This Row],[Unit Cost]])*Table1[[#This Row],[Quantity]]</f>
        <v>41.21</v>
      </c>
      <c r="P353" s="9" t="str">
        <f t="shared" si="5"/>
        <v>Bulk</v>
      </c>
      <c r="Q353" s="9" t="str">
        <f>IF(Table1[[#This Row],[Discount]]&gt;=15%,"HIGH",IF(Table1[[#This Row],[Discount]]&gt;=55,"MEDIUM","NONE"))</f>
        <v>HIGH</v>
      </c>
      <c r="R353" s="9">
        <f>Table1[[#This Row],[Ship Date]]-Table1[[#This Row],[Order Date]]</f>
        <v>2</v>
      </c>
      <c r="S353" s="9">
        <f>VLOOKUP(Table1[[#This Row],[Region]],Table2[],2,FALSE)</f>
        <v>120000</v>
      </c>
      <c r="T353" s="9">
        <f>INDEX(Table2[Quarterly Target],MATCH(Table1[[#This Row],[Region]],Table2[[Region ]],0))</f>
        <v>120000</v>
      </c>
      <c r="U353" s="9">
        <f>RANK(Table1[[#This Row],[Sales]],Table1[Sales])</f>
        <v>355</v>
      </c>
      <c r="V353" s="21">
        <f>SUM(N$2:N354)</f>
        <v>1118661.0085000007</v>
      </c>
    </row>
    <row r="354" spans="1:22" x14ac:dyDescent="0.25">
      <c r="A354" s="5" t="s">
        <v>818</v>
      </c>
      <c r="B354" s="6" t="s">
        <v>819</v>
      </c>
      <c r="C354" s="6" t="s">
        <v>819</v>
      </c>
      <c r="D354" s="7" t="s">
        <v>24</v>
      </c>
      <c r="E354" s="7" t="s">
        <v>71</v>
      </c>
      <c r="F354" s="7" t="s">
        <v>18</v>
      </c>
      <c r="G354" s="7" t="s">
        <v>26</v>
      </c>
      <c r="H354" s="7" t="s">
        <v>20</v>
      </c>
      <c r="I354" s="7" t="s">
        <v>139</v>
      </c>
      <c r="J354" s="7">
        <v>8</v>
      </c>
      <c r="K354" s="24">
        <v>1025.18</v>
      </c>
      <c r="L354" s="8">
        <v>0.2</v>
      </c>
      <c r="M354" s="20">
        <v>815.49</v>
      </c>
      <c r="N354" s="21">
        <f>(Table1[[#This Row],[Quantity]]*Table1[[#This Row],[Unit Price]])*(1-Table1[[#This Row],[Discount]])</f>
        <v>6561.152000000001</v>
      </c>
      <c r="O354" s="21">
        <f>(Table1[[#This Row],[Unit Price]]-Table1[[#This Row],[Unit Cost]])*Table1[[#This Row],[Quantity]]</f>
        <v>1677.5200000000004</v>
      </c>
      <c r="P354" s="9" t="str">
        <f t="shared" si="5"/>
        <v>Bulk</v>
      </c>
      <c r="Q354" s="9" t="str">
        <f>IF(Table1[[#This Row],[Discount]]&gt;=15%,"HIGH",IF(Table1[[#This Row],[Discount]]&gt;=55,"MEDIUM","NONE"))</f>
        <v>HIGH</v>
      </c>
      <c r="R354" s="9">
        <f>Table1[[#This Row],[Ship Date]]-Table1[[#This Row],[Order Date]]</f>
        <v>0</v>
      </c>
      <c r="S354" s="9">
        <f>VLOOKUP(Table1[[#This Row],[Region]],Table2[],2,FALSE)</f>
        <v>140000</v>
      </c>
      <c r="T354" s="9">
        <f>INDEX(Table2[Quarterly Target],MATCH(Table1[[#This Row],[Region]],Table2[[Region ]],0))</f>
        <v>140000</v>
      </c>
      <c r="U354" s="9">
        <f>RANK(Table1[[#This Row],[Sales]],Table1[Sales])</f>
        <v>80</v>
      </c>
      <c r="V354" s="21">
        <f>SUM(N$2:N355)</f>
        <v>1128687.9685000007</v>
      </c>
    </row>
    <row r="355" spans="1:22" x14ac:dyDescent="0.25">
      <c r="A355" s="5" t="s">
        <v>820</v>
      </c>
      <c r="B355" s="6" t="s">
        <v>821</v>
      </c>
      <c r="C355" s="6" t="s">
        <v>821</v>
      </c>
      <c r="D355" s="7" t="s">
        <v>24</v>
      </c>
      <c r="E355" s="7" t="s">
        <v>109</v>
      </c>
      <c r="F355" s="7" t="s">
        <v>38</v>
      </c>
      <c r="G355" s="7" t="s">
        <v>50</v>
      </c>
      <c r="H355" s="7" t="s">
        <v>45</v>
      </c>
      <c r="I355" s="7" t="s">
        <v>68</v>
      </c>
      <c r="J355" s="7">
        <v>24</v>
      </c>
      <c r="K355" s="24">
        <v>417.79</v>
      </c>
      <c r="L355" s="8">
        <v>0</v>
      </c>
      <c r="M355" s="20">
        <v>234.01</v>
      </c>
      <c r="N355" s="21">
        <f>(Table1[[#This Row],[Quantity]]*Table1[[#This Row],[Unit Price]])*(1-Table1[[#This Row],[Discount]])</f>
        <v>10026.960000000001</v>
      </c>
      <c r="O355" s="21">
        <f>(Table1[[#This Row],[Unit Price]]-Table1[[#This Row],[Unit Cost]])*Table1[[#This Row],[Quantity]]</f>
        <v>4410.7200000000012</v>
      </c>
      <c r="P355" s="9" t="str">
        <f t="shared" si="5"/>
        <v>Standard</v>
      </c>
      <c r="Q355" s="9" t="str">
        <f>IF(Table1[[#This Row],[Discount]]&gt;=15%,"HIGH",IF(Table1[[#This Row],[Discount]]&gt;=55,"MEDIUM","NONE"))</f>
        <v>NONE</v>
      </c>
      <c r="R355" s="9">
        <f>Table1[[#This Row],[Ship Date]]-Table1[[#This Row],[Order Date]]</f>
        <v>0</v>
      </c>
      <c r="S355" s="9">
        <f>VLOOKUP(Table1[[#This Row],[Region]],Table2[],2,FALSE)</f>
        <v>120000</v>
      </c>
      <c r="T355" s="9">
        <f>INDEX(Table2[Quarterly Target],MATCH(Table1[[#This Row],[Region]],Table2[[Region ]],0))</f>
        <v>120000</v>
      </c>
      <c r="U355" s="9">
        <f>RANK(Table1[[#This Row],[Sales]],Table1[Sales])</f>
        <v>43</v>
      </c>
      <c r="V355" s="21">
        <f>SUM(N$2:N356)</f>
        <v>1128878.9185000006</v>
      </c>
    </row>
    <row r="356" spans="1:22" x14ac:dyDescent="0.25">
      <c r="A356" s="5" t="s">
        <v>822</v>
      </c>
      <c r="B356" s="6" t="s">
        <v>823</v>
      </c>
      <c r="C356" s="6" t="s">
        <v>823</v>
      </c>
      <c r="D356" s="7" t="s">
        <v>24</v>
      </c>
      <c r="E356" s="7" t="s">
        <v>133</v>
      </c>
      <c r="F356" s="7" t="s">
        <v>25</v>
      </c>
      <c r="G356" s="7" t="s">
        <v>19</v>
      </c>
      <c r="H356" s="7" t="s">
        <v>33</v>
      </c>
      <c r="I356" s="7" t="s">
        <v>39</v>
      </c>
      <c r="J356" s="7">
        <v>12</v>
      </c>
      <c r="K356" s="24">
        <v>16.75</v>
      </c>
      <c r="L356" s="8">
        <v>0.05</v>
      </c>
      <c r="M356" s="20">
        <v>12.9</v>
      </c>
      <c r="N356" s="21">
        <f>(Table1[[#This Row],[Quantity]]*Table1[[#This Row],[Unit Price]])*(1-Table1[[#This Row],[Discount]])</f>
        <v>190.95</v>
      </c>
      <c r="O356" s="21">
        <f>(Table1[[#This Row],[Unit Price]]-Table1[[#This Row],[Unit Cost]])*Table1[[#This Row],[Quantity]]</f>
        <v>46.199999999999996</v>
      </c>
      <c r="P356" s="9" t="str">
        <f t="shared" si="5"/>
        <v>Bulk</v>
      </c>
      <c r="Q356" s="9" t="str">
        <f>IF(Table1[[#This Row],[Discount]]&gt;=15%,"HIGH",IF(Table1[[#This Row],[Discount]]&gt;=55,"MEDIUM","NONE"))</f>
        <v>NONE</v>
      </c>
      <c r="R356" s="9">
        <f>Table1[[#This Row],[Ship Date]]-Table1[[#This Row],[Order Date]]</f>
        <v>0</v>
      </c>
      <c r="S356" s="9">
        <f>VLOOKUP(Table1[[#This Row],[Region]],Table2[],2,FALSE)</f>
        <v>130000</v>
      </c>
      <c r="T356" s="9">
        <f>INDEX(Table2[Quarterly Target],MATCH(Table1[[#This Row],[Region]],Table2[[Region ]],0))</f>
        <v>130000</v>
      </c>
      <c r="U356" s="9">
        <f>RANK(Table1[[#This Row],[Sales]],Table1[Sales])</f>
        <v>319</v>
      </c>
      <c r="V356" s="21">
        <f>SUM(N$2:N357)</f>
        <v>1129188.5005000005</v>
      </c>
    </row>
    <row r="357" spans="1:22" x14ac:dyDescent="0.25">
      <c r="A357" s="5" t="s">
        <v>824</v>
      </c>
      <c r="B357" s="6" t="s">
        <v>341</v>
      </c>
      <c r="C357" s="6" t="s">
        <v>825</v>
      </c>
      <c r="D357" s="7" t="s">
        <v>30</v>
      </c>
      <c r="E357" s="7" t="s">
        <v>122</v>
      </c>
      <c r="F357" s="7" t="s">
        <v>38</v>
      </c>
      <c r="G357" s="7" t="s">
        <v>50</v>
      </c>
      <c r="H357" s="7" t="s">
        <v>33</v>
      </c>
      <c r="I357" s="7" t="s">
        <v>39</v>
      </c>
      <c r="J357" s="7">
        <v>21</v>
      </c>
      <c r="K357" s="24">
        <v>16.38</v>
      </c>
      <c r="L357" s="8">
        <v>0.1</v>
      </c>
      <c r="M357" s="20">
        <v>11.68</v>
      </c>
      <c r="N357" s="21">
        <f>(Table1[[#This Row],[Quantity]]*Table1[[#This Row],[Unit Price]])*(1-Table1[[#This Row],[Discount]])</f>
        <v>309.58199999999999</v>
      </c>
      <c r="O357" s="21">
        <f>(Table1[[#This Row],[Unit Price]]-Table1[[#This Row],[Unit Cost]])*Table1[[#This Row],[Quantity]]</f>
        <v>98.699999999999989</v>
      </c>
      <c r="P357" s="9" t="str">
        <f t="shared" si="5"/>
        <v>Bulk</v>
      </c>
      <c r="Q357" s="9" t="str">
        <f>IF(Table1[[#This Row],[Discount]]&gt;=15%,"HIGH",IF(Table1[[#This Row],[Discount]]&gt;=55,"MEDIUM","NONE"))</f>
        <v>NONE</v>
      </c>
      <c r="R357" s="9">
        <f>Table1[[#This Row],[Ship Date]]-Table1[[#This Row],[Order Date]]</f>
        <v>3</v>
      </c>
      <c r="S357" s="9">
        <f>VLOOKUP(Table1[[#This Row],[Region]],Table2[],2,FALSE)</f>
        <v>120000</v>
      </c>
      <c r="T357" s="9">
        <f>INDEX(Table2[Quarterly Target],MATCH(Table1[[#This Row],[Region]],Table2[[Region ]],0))</f>
        <v>120000</v>
      </c>
      <c r="U357" s="9">
        <f>RANK(Table1[[#This Row],[Sales]],Table1[Sales])</f>
        <v>272</v>
      </c>
      <c r="V357" s="21">
        <f>SUM(N$2:N358)</f>
        <v>1140652.6605000005</v>
      </c>
    </row>
    <row r="358" spans="1:22" x14ac:dyDescent="0.25">
      <c r="A358" s="5" t="s">
        <v>826</v>
      </c>
      <c r="B358" s="6" t="s">
        <v>366</v>
      </c>
      <c r="C358" s="6" t="s">
        <v>827</v>
      </c>
      <c r="D358" s="7" t="s">
        <v>30</v>
      </c>
      <c r="E358" s="7" t="s">
        <v>206</v>
      </c>
      <c r="F358" s="7" t="s">
        <v>60</v>
      </c>
      <c r="G358" s="7" t="s">
        <v>32</v>
      </c>
      <c r="H358" s="7" t="s">
        <v>45</v>
      </c>
      <c r="I358" s="7" t="s">
        <v>83</v>
      </c>
      <c r="J358" s="7">
        <v>16</v>
      </c>
      <c r="K358" s="24">
        <v>716.51</v>
      </c>
      <c r="L358" s="8">
        <v>0</v>
      </c>
      <c r="M358" s="20">
        <v>483.97</v>
      </c>
      <c r="N358" s="21">
        <f>(Table1[[#This Row],[Quantity]]*Table1[[#This Row],[Unit Price]])*(1-Table1[[#This Row],[Discount]])</f>
        <v>11464.16</v>
      </c>
      <c r="O358" s="21">
        <f>(Table1[[#This Row],[Unit Price]]-Table1[[#This Row],[Unit Cost]])*Table1[[#This Row],[Quantity]]</f>
        <v>3720.6399999999994</v>
      </c>
      <c r="P358" s="9" t="str">
        <f t="shared" si="5"/>
        <v>Bulk</v>
      </c>
      <c r="Q358" s="9" t="str">
        <f>IF(Table1[[#This Row],[Discount]]&gt;=15%,"HIGH",IF(Table1[[#This Row],[Discount]]&gt;=55,"MEDIUM","NONE"))</f>
        <v>NONE</v>
      </c>
      <c r="R358" s="9">
        <f>Table1[[#This Row],[Ship Date]]-Table1[[#This Row],[Order Date]]</f>
        <v>3</v>
      </c>
      <c r="S358" s="9">
        <f>VLOOKUP(Table1[[#This Row],[Region]],Table2[],2,FALSE)</f>
        <v>160000</v>
      </c>
      <c r="T358" s="9">
        <f>INDEX(Table2[Quarterly Target],MATCH(Table1[[#This Row],[Region]],Table2[[Region ]],0))</f>
        <v>160000</v>
      </c>
      <c r="U358" s="9">
        <f>RANK(Table1[[#This Row],[Sales]],Table1[Sales])</f>
        <v>35</v>
      </c>
      <c r="V358" s="21">
        <f>SUM(N$2:N359)</f>
        <v>1141605.4365000005</v>
      </c>
    </row>
    <row r="359" spans="1:22" x14ac:dyDescent="0.25">
      <c r="A359" s="5" t="s">
        <v>828</v>
      </c>
      <c r="B359" s="6" t="s">
        <v>179</v>
      </c>
      <c r="C359" s="6" t="s">
        <v>157</v>
      </c>
      <c r="D359" s="7" t="s">
        <v>16</v>
      </c>
      <c r="E359" s="7" t="s">
        <v>37</v>
      </c>
      <c r="F359" s="7" t="s">
        <v>38</v>
      </c>
      <c r="G359" s="7" t="s">
        <v>19</v>
      </c>
      <c r="H359" s="7" t="s">
        <v>45</v>
      </c>
      <c r="I359" s="7" t="s">
        <v>46</v>
      </c>
      <c r="J359" s="7">
        <v>6</v>
      </c>
      <c r="K359" s="24">
        <v>176.44</v>
      </c>
      <c r="L359" s="8">
        <v>0.1</v>
      </c>
      <c r="M359" s="20">
        <v>128.68</v>
      </c>
      <c r="N359" s="21">
        <f>(Table1[[#This Row],[Quantity]]*Table1[[#This Row],[Unit Price]])*(1-Table1[[#This Row],[Discount]])</f>
        <v>952.77599999999995</v>
      </c>
      <c r="O359" s="21">
        <f>(Table1[[#This Row],[Unit Price]]-Table1[[#This Row],[Unit Cost]])*Table1[[#This Row],[Quantity]]</f>
        <v>286.55999999999995</v>
      </c>
      <c r="P359" s="9" t="str">
        <f t="shared" si="5"/>
        <v>Bulk</v>
      </c>
      <c r="Q359" s="9" t="str">
        <f>IF(Table1[[#This Row],[Discount]]&gt;=15%,"HIGH",IF(Table1[[#This Row],[Discount]]&gt;=55,"MEDIUM","NONE"))</f>
        <v>NONE</v>
      </c>
      <c r="R359" s="9">
        <f>Table1[[#This Row],[Ship Date]]-Table1[[#This Row],[Order Date]]</f>
        <v>4</v>
      </c>
      <c r="S359" s="9">
        <f>VLOOKUP(Table1[[#This Row],[Region]],Table2[],2,FALSE)</f>
        <v>120000</v>
      </c>
      <c r="T359" s="9">
        <f>INDEX(Table2[Quarterly Target],MATCH(Table1[[#This Row],[Region]],Table2[[Region ]],0))</f>
        <v>120000</v>
      </c>
      <c r="U359" s="9">
        <f>RANK(Table1[[#This Row],[Sales]],Table1[Sales])</f>
        <v>180</v>
      </c>
      <c r="V359" s="21">
        <f>SUM(N$2:N360)</f>
        <v>1141729.0125000004</v>
      </c>
    </row>
    <row r="360" spans="1:22" x14ac:dyDescent="0.25">
      <c r="A360" s="5" t="s">
        <v>829</v>
      </c>
      <c r="B360" s="6" t="s">
        <v>830</v>
      </c>
      <c r="C360" s="6" t="s">
        <v>115</v>
      </c>
      <c r="D360" s="7" t="s">
        <v>16</v>
      </c>
      <c r="E360" s="7" t="s">
        <v>66</v>
      </c>
      <c r="F360" s="7" t="s">
        <v>60</v>
      </c>
      <c r="G360" s="7" t="s">
        <v>82</v>
      </c>
      <c r="H360" s="7" t="s">
        <v>33</v>
      </c>
      <c r="I360" s="7" t="s">
        <v>34</v>
      </c>
      <c r="J360" s="7">
        <v>19</v>
      </c>
      <c r="K360" s="24">
        <v>8.1300000000000008</v>
      </c>
      <c r="L360" s="8">
        <v>0.2</v>
      </c>
      <c r="M360" s="20">
        <v>5.31</v>
      </c>
      <c r="N360" s="21">
        <f>(Table1[[#This Row],[Quantity]]*Table1[[#This Row],[Unit Price]])*(1-Table1[[#This Row],[Discount]])</f>
        <v>123.57600000000002</v>
      </c>
      <c r="O360" s="21">
        <f>(Table1[[#This Row],[Unit Price]]-Table1[[#This Row],[Unit Cost]])*Table1[[#This Row],[Quantity]]</f>
        <v>53.58000000000002</v>
      </c>
      <c r="P360" s="9" t="str">
        <f t="shared" si="5"/>
        <v>Standard</v>
      </c>
      <c r="Q360" s="9" t="str">
        <f>IF(Table1[[#This Row],[Discount]]&gt;=15%,"HIGH",IF(Table1[[#This Row],[Discount]]&gt;=55,"MEDIUM","NONE"))</f>
        <v>HIGH</v>
      </c>
      <c r="R360" s="9">
        <f>Table1[[#This Row],[Ship Date]]-Table1[[#This Row],[Order Date]]</f>
        <v>5</v>
      </c>
      <c r="S360" s="9">
        <f>VLOOKUP(Table1[[#This Row],[Region]],Table2[],2,FALSE)</f>
        <v>160000</v>
      </c>
      <c r="T360" s="9">
        <f>INDEX(Table2[Quarterly Target],MATCH(Table1[[#This Row],[Region]],Table2[[Region ]],0))</f>
        <v>160000</v>
      </c>
      <c r="U360" s="9">
        <f>RANK(Table1[[#This Row],[Sales]],Table1[Sales])</f>
        <v>348</v>
      </c>
      <c r="V360" s="21">
        <f>SUM(N$2:N361)</f>
        <v>1143235.6725000003</v>
      </c>
    </row>
    <row r="361" spans="1:22" x14ac:dyDescent="0.25">
      <c r="A361" s="5" t="s">
        <v>831</v>
      </c>
      <c r="B361" s="6" t="s">
        <v>132</v>
      </c>
      <c r="C361" s="6" t="s">
        <v>124</v>
      </c>
      <c r="D361" s="7" t="s">
        <v>16</v>
      </c>
      <c r="E361" s="7" t="s">
        <v>133</v>
      </c>
      <c r="F361" s="7" t="s">
        <v>38</v>
      </c>
      <c r="G361" s="7" t="s">
        <v>50</v>
      </c>
      <c r="H361" s="7" t="s">
        <v>45</v>
      </c>
      <c r="I361" s="7" t="s">
        <v>68</v>
      </c>
      <c r="J361" s="7">
        <v>6</v>
      </c>
      <c r="K361" s="24">
        <v>251.11</v>
      </c>
      <c r="L361" s="8">
        <v>0</v>
      </c>
      <c r="M361" s="20">
        <v>170.54</v>
      </c>
      <c r="N361" s="21">
        <f>(Table1[[#This Row],[Quantity]]*Table1[[#This Row],[Unit Price]])*(1-Table1[[#This Row],[Discount]])</f>
        <v>1506.66</v>
      </c>
      <c r="O361" s="21">
        <f>(Table1[[#This Row],[Unit Price]]-Table1[[#This Row],[Unit Cost]])*Table1[[#This Row],[Quantity]]</f>
        <v>483.42000000000013</v>
      </c>
      <c r="P361" s="9" t="str">
        <f t="shared" si="5"/>
        <v>Bulk</v>
      </c>
      <c r="Q361" s="9" t="str">
        <f>IF(Table1[[#This Row],[Discount]]&gt;=15%,"HIGH",IF(Table1[[#This Row],[Discount]]&gt;=55,"MEDIUM","NONE"))</f>
        <v>NONE</v>
      </c>
      <c r="R361" s="9">
        <f>Table1[[#This Row],[Ship Date]]-Table1[[#This Row],[Order Date]]</f>
        <v>7</v>
      </c>
      <c r="S361" s="9">
        <f>VLOOKUP(Table1[[#This Row],[Region]],Table2[],2,FALSE)</f>
        <v>120000</v>
      </c>
      <c r="T361" s="9">
        <f>INDEX(Table2[Quarterly Target],MATCH(Table1[[#This Row],[Region]],Table2[[Region ]],0))</f>
        <v>120000</v>
      </c>
      <c r="U361" s="9">
        <f>RANK(Table1[[#This Row],[Sales]],Table1[Sales])</f>
        <v>150</v>
      </c>
      <c r="V361" s="21">
        <f>SUM(N$2:N362)</f>
        <v>1143294.6105000004</v>
      </c>
    </row>
    <row r="362" spans="1:22" x14ac:dyDescent="0.25">
      <c r="A362" s="5" t="s">
        <v>832</v>
      </c>
      <c r="B362" s="6" t="s">
        <v>758</v>
      </c>
      <c r="C362" s="6" t="s">
        <v>636</v>
      </c>
      <c r="D362" s="7" t="s">
        <v>30</v>
      </c>
      <c r="E362" s="7" t="s">
        <v>75</v>
      </c>
      <c r="F362" s="7" t="s">
        <v>25</v>
      </c>
      <c r="G362" s="7" t="s">
        <v>82</v>
      </c>
      <c r="H362" s="7" t="s">
        <v>33</v>
      </c>
      <c r="I362" s="7" t="s">
        <v>34</v>
      </c>
      <c r="J362" s="7">
        <v>6</v>
      </c>
      <c r="K362" s="24">
        <v>10.34</v>
      </c>
      <c r="L362" s="8">
        <v>0.05</v>
      </c>
      <c r="M362" s="20">
        <v>7.24</v>
      </c>
      <c r="N362" s="21">
        <f>(Table1[[#This Row],[Quantity]]*Table1[[#This Row],[Unit Price]])*(1-Table1[[#This Row],[Discount]])</f>
        <v>58.937999999999995</v>
      </c>
      <c r="O362" s="21">
        <f>(Table1[[#This Row],[Unit Price]]-Table1[[#This Row],[Unit Cost]])*Table1[[#This Row],[Quantity]]</f>
        <v>18.599999999999998</v>
      </c>
      <c r="P362" s="9" t="str">
        <f t="shared" si="5"/>
        <v>Standard</v>
      </c>
      <c r="Q362" s="9" t="str">
        <f>IF(Table1[[#This Row],[Discount]]&gt;=15%,"HIGH",IF(Table1[[#This Row],[Discount]]&gt;=55,"MEDIUM","NONE"))</f>
        <v>NONE</v>
      </c>
      <c r="R362" s="9">
        <f>Table1[[#This Row],[Ship Date]]-Table1[[#This Row],[Order Date]]</f>
        <v>3</v>
      </c>
      <c r="S362" s="9">
        <f>VLOOKUP(Table1[[#This Row],[Region]],Table2[],2,FALSE)</f>
        <v>130000</v>
      </c>
      <c r="T362" s="9">
        <f>INDEX(Table2[Quarterly Target],MATCH(Table1[[#This Row],[Region]],Table2[[Region ]],0))</f>
        <v>130000</v>
      </c>
      <c r="U362" s="9">
        <f>RANK(Table1[[#This Row],[Sales]],Table1[Sales])</f>
        <v>375</v>
      </c>
      <c r="V362" s="21">
        <f>SUM(N$2:N363)</f>
        <v>1143511.0605000004</v>
      </c>
    </row>
    <row r="363" spans="1:22" x14ac:dyDescent="0.25">
      <c r="A363" s="5" t="s">
        <v>833</v>
      </c>
      <c r="B363" s="6" t="s">
        <v>180</v>
      </c>
      <c r="C363" s="6" t="s">
        <v>158</v>
      </c>
      <c r="D363" s="7" t="s">
        <v>16</v>
      </c>
      <c r="E363" s="7" t="s">
        <v>109</v>
      </c>
      <c r="F363" s="7" t="s">
        <v>38</v>
      </c>
      <c r="G363" s="7" t="s">
        <v>67</v>
      </c>
      <c r="H363" s="7" t="s">
        <v>33</v>
      </c>
      <c r="I363" s="7" t="s">
        <v>76</v>
      </c>
      <c r="J363" s="7">
        <v>13</v>
      </c>
      <c r="K363" s="24">
        <v>16.649999999999999</v>
      </c>
      <c r="L363" s="8">
        <v>0</v>
      </c>
      <c r="M363" s="20">
        <v>9.23</v>
      </c>
      <c r="N363" s="21">
        <f>(Table1[[#This Row],[Quantity]]*Table1[[#This Row],[Unit Price]])*(1-Table1[[#This Row],[Discount]])</f>
        <v>216.45</v>
      </c>
      <c r="O363" s="21">
        <f>(Table1[[#This Row],[Unit Price]]-Table1[[#This Row],[Unit Cost]])*Table1[[#This Row],[Quantity]]</f>
        <v>96.45999999999998</v>
      </c>
      <c r="P363" s="9" t="str">
        <f t="shared" si="5"/>
        <v>Standard</v>
      </c>
      <c r="Q363" s="9" t="str">
        <f>IF(Table1[[#This Row],[Discount]]&gt;=15%,"HIGH",IF(Table1[[#This Row],[Discount]]&gt;=55,"MEDIUM","NONE"))</f>
        <v>NONE</v>
      </c>
      <c r="R363" s="9">
        <f>Table1[[#This Row],[Ship Date]]-Table1[[#This Row],[Order Date]]</f>
        <v>7</v>
      </c>
      <c r="S363" s="9">
        <f>VLOOKUP(Table1[[#This Row],[Region]],Table2[],2,FALSE)</f>
        <v>120000</v>
      </c>
      <c r="T363" s="9">
        <f>INDEX(Table2[Quarterly Target],MATCH(Table1[[#This Row],[Region]],Table2[[Region ]],0))</f>
        <v>120000</v>
      </c>
      <c r="U363" s="9">
        <f>RANK(Table1[[#This Row],[Sales]],Table1[Sales])</f>
        <v>302</v>
      </c>
      <c r="V363" s="21">
        <f>SUM(N$2:N364)</f>
        <v>1159070.1405000004</v>
      </c>
    </row>
    <row r="364" spans="1:22" x14ac:dyDescent="0.25">
      <c r="A364" s="5" t="s">
        <v>834</v>
      </c>
      <c r="B364" s="6" t="s">
        <v>835</v>
      </c>
      <c r="C364" s="6" t="s">
        <v>835</v>
      </c>
      <c r="D364" s="7" t="s">
        <v>24</v>
      </c>
      <c r="E364" s="7" t="s">
        <v>112</v>
      </c>
      <c r="F364" s="7" t="s">
        <v>60</v>
      </c>
      <c r="G364" s="7" t="s">
        <v>26</v>
      </c>
      <c r="H364" s="7" t="s">
        <v>20</v>
      </c>
      <c r="I364" s="7" t="s">
        <v>113</v>
      </c>
      <c r="J364" s="7">
        <v>17</v>
      </c>
      <c r="K364" s="24">
        <v>915.24</v>
      </c>
      <c r="L364" s="8">
        <v>0</v>
      </c>
      <c r="M364" s="20">
        <v>613.72</v>
      </c>
      <c r="N364" s="21">
        <f>(Table1[[#This Row],[Quantity]]*Table1[[#This Row],[Unit Price]])*(1-Table1[[#This Row],[Discount]])</f>
        <v>15559.08</v>
      </c>
      <c r="O364" s="21">
        <f>(Table1[[#This Row],[Unit Price]]-Table1[[#This Row],[Unit Cost]])*Table1[[#This Row],[Quantity]]</f>
        <v>5125.84</v>
      </c>
      <c r="P364" s="9" t="str">
        <f t="shared" si="5"/>
        <v>Bulk</v>
      </c>
      <c r="Q364" s="9" t="str">
        <f>IF(Table1[[#This Row],[Discount]]&gt;=15%,"HIGH",IF(Table1[[#This Row],[Discount]]&gt;=55,"MEDIUM","NONE"))</f>
        <v>NONE</v>
      </c>
      <c r="R364" s="9">
        <f>Table1[[#This Row],[Ship Date]]-Table1[[#This Row],[Order Date]]</f>
        <v>0</v>
      </c>
      <c r="S364" s="9">
        <f>VLOOKUP(Table1[[#This Row],[Region]],Table2[],2,FALSE)</f>
        <v>160000</v>
      </c>
      <c r="T364" s="9">
        <f>INDEX(Table2[Quarterly Target],MATCH(Table1[[#This Row],[Region]],Table2[[Region ]],0))</f>
        <v>160000</v>
      </c>
      <c r="U364" s="9">
        <f>RANK(Table1[[#This Row],[Sales]],Table1[Sales])</f>
        <v>12</v>
      </c>
      <c r="V364" s="21">
        <f>SUM(N$2:N365)</f>
        <v>1159672.8925000005</v>
      </c>
    </row>
    <row r="365" spans="1:22" x14ac:dyDescent="0.25">
      <c r="A365" s="5" t="s">
        <v>836</v>
      </c>
      <c r="B365" s="6" t="s">
        <v>837</v>
      </c>
      <c r="C365" s="6" t="s">
        <v>837</v>
      </c>
      <c r="D365" s="7" t="s">
        <v>24</v>
      </c>
      <c r="E365" s="7" t="s">
        <v>206</v>
      </c>
      <c r="F365" s="7" t="s">
        <v>60</v>
      </c>
      <c r="G365" s="7" t="s">
        <v>26</v>
      </c>
      <c r="H365" s="7" t="s">
        <v>61</v>
      </c>
      <c r="I365" s="7" t="s">
        <v>72</v>
      </c>
      <c r="J365" s="7">
        <v>17</v>
      </c>
      <c r="K365" s="24">
        <v>44.32</v>
      </c>
      <c r="L365" s="8">
        <v>0.2</v>
      </c>
      <c r="M365" s="20">
        <v>29.72</v>
      </c>
      <c r="N365" s="21">
        <f>(Table1[[#This Row],[Quantity]]*Table1[[#This Row],[Unit Price]])*(1-Table1[[#This Row],[Discount]])</f>
        <v>602.75200000000007</v>
      </c>
      <c r="O365" s="21">
        <f>(Table1[[#This Row],[Unit Price]]-Table1[[#This Row],[Unit Cost]])*Table1[[#This Row],[Quantity]]</f>
        <v>248.20000000000002</v>
      </c>
      <c r="P365" s="9" t="str">
        <f t="shared" si="5"/>
        <v>Bulk</v>
      </c>
      <c r="Q365" s="9" t="str">
        <f>IF(Table1[[#This Row],[Discount]]&gt;=15%,"HIGH",IF(Table1[[#This Row],[Discount]]&gt;=55,"MEDIUM","NONE"))</f>
        <v>HIGH</v>
      </c>
      <c r="R365" s="9">
        <f>Table1[[#This Row],[Ship Date]]-Table1[[#This Row],[Order Date]]</f>
        <v>0</v>
      </c>
      <c r="S365" s="9">
        <f>VLOOKUP(Table1[[#This Row],[Region]],Table2[],2,FALSE)</f>
        <v>160000</v>
      </c>
      <c r="T365" s="9">
        <f>INDEX(Table2[Quarterly Target],MATCH(Table1[[#This Row],[Region]],Table2[[Region ]],0))</f>
        <v>160000</v>
      </c>
      <c r="U365" s="9">
        <f>RANK(Table1[[#This Row],[Sales]],Table1[Sales])</f>
        <v>214</v>
      </c>
      <c r="V365" s="21">
        <f>SUM(N$2:N366)</f>
        <v>1160687.4445000004</v>
      </c>
    </row>
    <row r="366" spans="1:22" x14ac:dyDescent="0.25">
      <c r="A366" s="5" t="s">
        <v>838</v>
      </c>
      <c r="B366" s="6" t="s">
        <v>28</v>
      </c>
      <c r="C366" s="6" t="s">
        <v>498</v>
      </c>
      <c r="D366" s="7" t="s">
        <v>16</v>
      </c>
      <c r="E366" s="7" t="s">
        <v>37</v>
      </c>
      <c r="F366" s="7" t="s">
        <v>25</v>
      </c>
      <c r="G366" s="7" t="s">
        <v>82</v>
      </c>
      <c r="H366" s="7" t="s">
        <v>20</v>
      </c>
      <c r="I366" s="7" t="s">
        <v>139</v>
      </c>
      <c r="J366" s="7">
        <v>3</v>
      </c>
      <c r="K366" s="24">
        <v>375.76</v>
      </c>
      <c r="L366" s="8">
        <v>0.1</v>
      </c>
      <c r="M366" s="20">
        <v>245.06</v>
      </c>
      <c r="N366" s="21">
        <f>(Table1[[#This Row],[Quantity]]*Table1[[#This Row],[Unit Price]])*(1-Table1[[#This Row],[Discount]])</f>
        <v>1014.552</v>
      </c>
      <c r="O366" s="21">
        <f>(Table1[[#This Row],[Unit Price]]-Table1[[#This Row],[Unit Cost]])*Table1[[#This Row],[Quantity]]</f>
        <v>392.09999999999997</v>
      </c>
      <c r="P366" s="9" t="str">
        <f t="shared" si="5"/>
        <v>Bulk</v>
      </c>
      <c r="Q366" s="9" t="str">
        <f>IF(Table1[[#This Row],[Discount]]&gt;=15%,"HIGH",IF(Table1[[#This Row],[Discount]]&gt;=55,"MEDIUM","NONE"))</f>
        <v>NONE</v>
      </c>
      <c r="R366" s="9">
        <f>Table1[[#This Row],[Ship Date]]-Table1[[#This Row],[Order Date]]</f>
        <v>5</v>
      </c>
      <c r="S366" s="9">
        <f>VLOOKUP(Table1[[#This Row],[Region]],Table2[],2,FALSE)</f>
        <v>130000</v>
      </c>
      <c r="T366" s="9">
        <f>INDEX(Table2[Quarterly Target],MATCH(Table1[[#This Row],[Region]],Table2[[Region ]],0))</f>
        <v>130000</v>
      </c>
      <c r="U366" s="9">
        <f>RANK(Table1[[#This Row],[Sales]],Table1[Sales])</f>
        <v>179</v>
      </c>
      <c r="V366" s="21">
        <f>SUM(N$2:N367)</f>
        <v>1165496.1085000006</v>
      </c>
    </row>
    <row r="367" spans="1:22" x14ac:dyDescent="0.25">
      <c r="A367" s="5" t="s">
        <v>839</v>
      </c>
      <c r="B367" s="6" t="s">
        <v>840</v>
      </c>
      <c r="C367" s="6" t="s">
        <v>841</v>
      </c>
      <c r="D367" s="7" t="s">
        <v>30</v>
      </c>
      <c r="E367" s="7" t="s">
        <v>96</v>
      </c>
      <c r="F367" s="7" t="s">
        <v>38</v>
      </c>
      <c r="G367" s="7" t="s">
        <v>26</v>
      </c>
      <c r="H367" s="7" t="s">
        <v>20</v>
      </c>
      <c r="I367" s="7" t="s">
        <v>192</v>
      </c>
      <c r="J367" s="7">
        <v>21</v>
      </c>
      <c r="K367" s="24">
        <v>286.23</v>
      </c>
      <c r="L367" s="8">
        <v>0.2</v>
      </c>
      <c r="M367" s="20">
        <v>180.03</v>
      </c>
      <c r="N367" s="21">
        <f>(Table1[[#This Row],[Quantity]]*Table1[[#This Row],[Unit Price]])*(1-Table1[[#This Row],[Discount]])</f>
        <v>4808.6639999999998</v>
      </c>
      <c r="O367" s="21">
        <f>(Table1[[#This Row],[Unit Price]]-Table1[[#This Row],[Unit Cost]])*Table1[[#This Row],[Quantity]]</f>
        <v>2230.2000000000003</v>
      </c>
      <c r="P367" s="9" t="str">
        <f t="shared" si="5"/>
        <v>Standard</v>
      </c>
      <c r="Q367" s="9" t="str">
        <f>IF(Table1[[#This Row],[Discount]]&gt;=15%,"HIGH",IF(Table1[[#This Row],[Discount]]&gt;=55,"MEDIUM","NONE"))</f>
        <v>HIGH</v>
      </c>
      <c r="R367" s="9">
        <f>Table1[[#This Row],[Ship Date]]-Table1[[#This Row],[Order Date]]</f>
        <v>2</v>
      </c>
      <c r="S367" s="9">
        <f>VLOOKUP(Table1[[#This Row],[Region]],Table2[],2,FALSE)</f>
        <v>120000</v>
      </c>
      <c r="T367" s="9">
        <f>INDEX(Table2[Quarterly Target],MATCH(Table1[[#This Row],[Region]],Table2[[Region ]],0))</f>
        <v>120000</v>
      </c>
      <c r="U367" s="9">
        <f>RANK(Table1[[#This Row],[Sales]],Table1[Sales])</f>
        <v>95</v>
      </c>
      <c r="V367" s="21">
        <f>SUM(N$2:N368)</f>
        <v>1166097.3985000006</v>
      </c>
    </row>
    <row r="368" spans="1:22" x14ac:dyDescent="0.25">
      <c r="A368" s="5" t="s">
        <v>842</v>
      </c>
      <c r="B368" s="6" t="s">
        <v>843</v>
      </c>
      <c r="C368" s="6" t="s">
        <v>843</v>
      </c>
      <c r="D368" s="7" t="s">
        <v>24</v>
      </c>
      <c r="E368" s="7" t="s">
        <v>37</v>
      </c>
      <c r="F368" s="7" t="s">
        <v>18</v>
      </c>
      <c r="G368" s="7" t="s">
        <v>97</v>
      </c>
      <c r="H368" s="7" t="s">
        <v>61</v>
      </c>
      <c r="I368" s="7" t="s">
        <v>72</v>
      </c>
      <c r="J368" s="7">
        <v>12</v>
      </c>
      <c r="K368" s="24">
        <v>58.95</v>
      </c>
      <c r="L368" s="8">
        <v>0.15</v>
      </c>
      <c r="M368" s="20">
        <v>38.28</v>
      </c>
      <c r="N368" s="21">
        <f>(Table1[[#This Row],[Quantity]]*Table1[[#This Row],[Unit Price]])*(1-Table1[[#This Row],[Discount]])</f>
        <v>601.29000000000008</v>
      </c>
      <c r="O368" s="21">
        <f>(Table1[[#This Row],[Unit Price]]-Table1[[#This Row],[Unit Cost]])*Table1[[#This Row],[Quantity]]</f>
        <v>248.04000000000002</v>
      </c>
      <c r="P368" s="9" t="str">
        <f t="shared" si="5"/>
        <v>Bulk</v>
      </c>
      <c r="Q368" s="9" t="str">
        <f>IF(Table1[[#This Row],[Discount]]&gt;=15%,"HIGH",IF(Table1[[#This Row],[Discount]]&gt;=55,"MEDIUM","NONE"))</f>
        <v>HIGH</v>
      </c>
      <c r="R368" s="9">
        <f>Table1[[#This Row],[Ship Date]]-Table1[[#This Row],[Order Date]]</f>
        <v>0</v>
      </c>
      <c r="S368" s="9">
        <f>VLOOKUP(Table1[[#This Row],[Region]],Table2[],2,FALSE)</f>
        <v>140000</v>
      </c>
      <c r="T368" s="9">
        <f>INDEX(Table2[Quarterly Target],MATCH(Table1[[#This Row],[Region]],Table2[[Region ]],0))</f>
        <v>140000</v>
      </c>
      <c r="U368" s="9">
        <f>RANK(Table1[[#This Row],[Sales]],Table1[Sales])</f>
        <v>215</v>
      </c>
      <c r="V368" s="21">
        <f>SUM(N$2:N369)</f>
        <v>1166547.0785000005</v>
      </c>
    </row>
    <row r="369" spans="1:24" x14ac:dyDescent="0.25">
      <c r="A369" s="5" t="s">
        <v>844</v>
      </c>
      <c r="B369" s="6" t="s">
        <v>247</v>
      </c>
      <c r="C369" s="6" t="s">
        <v>845</v>
      </c>
      <c r="D369" s="7" t="s">
        <v>30</v>
      </c>
      <c r="E369" s="7" t="s">
        <v>122</v>
      </c>
      <c r="F369" s="7" t="s">
        <v>18</v>
      </c>
      <c r="G369" s="7" t="s">
        <v>82</v>
      </c>
      <c r="H369" s="7" t="s">
        <v>61</v>
      </c>
      <c r="I369" s="7" t="s">
        <v>88</v>
      </c>
      <c r="J369" s="7">
        <v>10</v>
      </c>
      <c r="K369" s="24">
        <v>56.21</v>
      </c>
      <c r="L369" s="8">
        <v>0.2</v>
      </c>
      <c r="M369" s="20">
        <v>40.83</v>
      </c>
      <c r="N369" s="21">
        <f>(Table1[[#This Row],[Quantity]]*Table1[[#This Row],[Unit Price]])*(1-Table1[[#This Row],[Discount]])</f>
        <v>449.68000000000006</v>
      </c>
      <c r="O369" s="21">
        <f>(Table1[[#This Row],[Unit Price]]-Table1[[#This Row],[Unit Cost]])*Table1[[#This Row],[Quantity]]</f>
        <v>153.80000000000001</v>
      </c>
      <c r="P369" s="9" t="str">
        <f t="shared" si="5"/>
        <v>Bulk</v>
      </c>
      <c r="Q369" s="9" t="str">
        <f>IF(Table1[[#This Row],[Discount]]&gt;=15%,"HIGH",IF(Table1[[#This Row],[Discount]]&gt;=55,"MEDIUM","NONE"))</f>
        <v>HIGH</v>
      </c>
      <c r="R369" s="9">
        <f>Table1[[#This Row],[Ship Date]]-Table1[[#This Row],[Order Date]]</f>
        <v>2</v>
      </c>
      <c r="S369" s="9">
        <f>VLOOKUP(Table1[[#This Row],[Region]],Table2[],2,FALSE)</f>
        <v>140000</v>
      </c>
      <c r="T369" s="9">
        <f>INDEX(Table2[Quarterly Target],MATCH(Table1[[#This Row],[Region]],Table2[[Region ]],0))</f>
        <v>140000</v>
      </c>
      <c r="U369" s="9">
        <f>RANK(Table1[[#This Row],[Sales]],Table1[Sales])</f>
        <v>234</v>
      </c>
      <c r="V369" s="21">
        <f>SUM(N$2:N370)</f>
        <v>1167451.6145000006</v>
      </c>
    </row>
    <row r="370" spans="1:24" x14ac:dyDescent="0.25">
      <c r="A370" s="5" t="s">
        <v>846</v>
      </c>
      <c r="B370" s="6" t="s">
        <v>847</v>
      </c>
      <c r="C370" s="6" t="s">
        <v>298</v>
      </c>
      <c r="D370" s="7" t="s">
        <v>30</v>
      </c>
      <c r="E370" s="7" t="s">
        <v>87</v>
      </c>
      <c r="F370" s="7" t="s">
        <v>43</v>
      </c>
      <c r="G370" s="7" t="s">
        <v>97</v>
      </c>
      <c r="H370" s="7" t="s">
        <v>61</v>
      </c>
      <c r="I370" s="7" t="s">
        <v>88</v>
      </c>
      <c r="J370" s="7">
        <v>18</v>
      </c>
      <c r="K370" s="24">
        <v>59.12</v>
      </c>
      <c r="L370" s="8">
        <v>0.15</v>
      </c>
      <c r="M370" s="20">
        <v>42.96</v>
      </c>
      <c r="N370" s="21">
        <f>(Table1[[#This Row],[Quantity]]*Table1[[#This Row],[Unit Price]])*(1-Table1[[#This Row],[Discount]])</f>
        <v>904.53599999999983</v>
      </c>
      <c r="O370" s="21">
        <f>(Table1[[#This Row],[Unit Price]]-Table1[[#This Row],[Unit Cost]])*Table1[[#This Row],[Quantity]]</f>
        <v>290.87999999999994</v>
      </c>
      <c r="P370" s="9" t="str">
        <f t="shared" si="5"/>
        <v>Standard</v>
      </c>
      <c r="Q370" s="9" t="str">
        <f>IF(Table1[[#This Row],[Discount]]&gt;=15%,"HIGH",IF(Table1[[#This Row],[Discount]]&gt;=55,"MEDIUM","NONE"))</f>
        <v>HIGH</v>
      </c>
      <c r="R370" s="9">
        <f>Table1[[#This Row],[Ship Date]]-Table1[[#This Row],[Order Date]]</f>
        <v>3</v>
      </c>
      <c r="S370" s="9">
        <f>VLOOKUP(Table1[[#This Row],[Region]],Table2[],2,FALSE)</f>
        <v>150000</v>
      </c>
      <c r="T370" s="9">
        <f>INDEX(Table2[Quarterly Target],MATCH(Table1[[#This Row],[Region]],Table2[[Region ]],0))</f>
        <v>150000</v>
      </c>
      <c r="U370" s="9">
        <f>RANK(Table1[[#This Row],[Sales]],Table1[Sales])</f>
        <v>182</v>
      </c>
      <c r="V370" s="21">
        <f>SUM(N$2:N371)</f>
        <v>1168509.2945000005</v>
      </c>
    </row>
    <row r="371" spans="1:24" x14ac:dyDescent="0.25">
      <c r="A371" s="5" t="s">
        <v>848</v>
      </c>
      <c r="B371" s="6" t="s">
        <v>589</v>
      </c>
      <c r="C371" s="6" t="s">
        <v>849</v>
      </c>
      <c r="D371" s="7" t="s">
        <v>16</v>
      </c>
      <c r="E371" s="7" t="s">
        <v>66</v>
      </c>
      <c r="F371" s="7" t="s">
        <v>25</v>
      </c>
      <c r="G371" s="7" t="s">
        <v>97</v>
      </c>
      <c r="H371" s="7" t="s">
        <v>20</v>
      </c>
      <c r="I371" s="7" t="s">
        <v>21</v>
      </c>
      <c r="J371" s="7">
        <v>3</v>
      </c>
      <c r="K371" s="24">
        <v>352.56</v>
      </c>
      <c r="L371" s="8">
        <v>0</v>
      </c>
      <c r="M371" s="20">
        <v>200.96</v>
      </c>
      <c r="N371" s="21">
        <f>(Table1[[#This Row],[Quantity]]*Table1[[#This Row],[Unit Price]])*(1-Table1[[#This Row],[Discount]])</f>
        <v>1057.68</v>
      </c>
      <c r="O371" s="21">
        <f>(Table1[[#This Row],[Unit Price]]-Table1[[#This Row],[Unit Cost]])*Table1[[#This Row],[Quantity]]</f>
        <v>454.79999999999995</v>
      </c>
      <c r="P371" s="9" t="str">
        <f t="shared" si="5"/>
        <v>Bulk</v>
      </c>
      <c r="Q371" s="9" t="str">
        <f>IF(Table1[[#This Row],[Discount]]&gt;=15%,"HIGH",IF(Table1[[#This Row],[Discount]]&gt;=55,"MEDIUM","NONE"))</f>
        <v>NONE</v>
      </c>
      <c r="R371" s="9">
        <f>Table1[[#This Row],[Ship Date]]-Table1[[#This Row],[Order Date]]</f>
        <v>4</v>
      </c>
      <c r="S371" s="9">
        <f>VLOOKUP(Table1[[#This Row],[Region]],Table2[],2,FALSE)</f>
        <v>130000</v>
      </c>
      <c r="T371" s="9">
        <f>INDEX(Table2[Quarterly Target],MATCH(Table1[[#This Row],[Region]],Table2[[Region ]],0))</f>
        <v>130000</v>
      </c>
      <c r="U371" s="9">
        <f>RANK(Table1[[#This Row],[Sales]],Table1[Sales])</f>
        <v>177</v>
      </c>
      <c r="V371" s="21">
        <f>SUM(N$2:N372)</f>
        <v>1168517.5055000004</v>
      </c>
    </row>
    <row r="372" spans="1:24" x14ac:dyDescent="0.25">
      <c r="A372" s="5" t="s">
        <v>850</v>
      </c>
      <c r="B372" s="6" t="s">
        <v>801</v>
      </c>
      <c r="C372" s="6" t="s">
        <v>99</v>
      </c>
      <c r="D372" s="7" t="s">
        <v>30</v>
      </c>
      <c r="E372" s="7" t="s">
        <v>78</v>
      </c>
      <c r="F372" s="7" t="s">
        <v>43</v>
      </c>
      <c r="G372" s="7" t="s">
        <v>82</v>
      </c>
      <c r="H372" s="7" t="s">
        <v>33</v>
      </c>
      <c r="I372" s="7" t="s">
        <v>153</v>
      </c>
      <c r="J372" s="7">
        <v>1</v>
      </c>
      <c r="K372" s="24">
        <v>9.66</v>
      </c>
      <c r="L372" s="8">
        <v>0.15</v>
      </c>
      <c r="M372" s="20">
        <v>7.56</v>
      </c>
      <c r="N372" s="21">
        <f>(Table1[[#This Row],[Quantity]]*Table1[[#This Row],[Unit Price]])*(1-Table1[[#This Row],[Discount]])</f>
        <v>8.2110000000000003</v>
      </c>
      <c r="O372" s="21">
        <f>(Table1[[#This Row],[Unit Price]]-Table1[[#This Row],[Unit Cost]])*Table1[[#This Row],[Quantity]]</f>
        <v>2.1000000000000005</v>
      </c>
      <c r="P372" s="9" t="str">
        <f t="shared" si="5"/>
        <v>Standard</v>
      </c>
      <c r="Q372" s="9" t="str">
        <f>IF(Table1[[#This Row],[Discount]]&gt;=15%,"HIGH",IF(Table1[[#This Row],[Discount]]&gt;=55,"MEDIUM","NONE"))</f>
        <v>HIGH</v>
      </c>
      <c r="R372" s="9">
        <f>Table1[[#This Row],[Ship Date]]-Table1[[#This Row],[Order Date]]</f>
        <v>2</v>
      </c>
      <c r="S372" s="9">
        <f>VLOOKUP(Table1[[#This Row],[Region]],Table2[],2,FALSE)</f>
        <v>150000</v>
      </c>
      <c r="T372" s="9">
        <f>INDEX(Table2[Quarterly Target],MATCH(Table1[[#This Row],[Region]],Table2[[Region ]],0))</f>
        <v>150000</v>
      </c>
      <c r="U372" s="9">
        <f>RANK(Table1[[#This Row],[Sales]],Table1[Sales])</f>
        <v>398</v>
      </c>
      <c r="V372" s="21">
        <f>SUM(N$2:N373)</f>
        <v>1169781.9155000004</v>
      </c>
    </row>
    <row r="373" spans="1:24" x14ac:dyDescent="0.25">
      <c r="A373" s="5" t="s">
        <v>851</v>
      </c>
      <c r="B373" s="6" t="s">
        <v>852</v>
      </c>
      <c r="C373" s="6" t="s">
        <v>853</v>
      </c>
      <c r="D373" s="7" t="s">
        <v>16</v>
      </c>
      <c r="E373" s="7" t="s">
        <v>133</v>
      </c>
      <c r="F373" s="7" t="s">
        <v>25</v>
      </c>
      <c r="G373" s="7" t="s">
        <v>32</v>
      </c>
      <c r="H373" s="7" t="s">
        <v>45</v>
      </c>
      <c r="I373" s="7" t="s">
        <v>83</v>
      </c>
      <c r="J373" s="7">
        <v>21</v>
      </c>
      <c r="K373" s="24">
        <v>60.21</v>
      </c>
      <c r="L373" s="8">
        <v>0</v>
      </c>
      <c r="M373" s="20">
        <v>34.42</v>
      </c>
      <c r="N373" s="21">
        <f>(Table1[[#This Row],[Quantity]]*Table1[[#This Row],[Unit Price]])*(1-Table1[[#This Row],[Discount]])</f>
        <v>1264.4100000000001</v>
      </c>
      <c r="O373" s="21">
        <f>(Table1[[#This Row],[Unit Price]]-Table1[[#This Row],[Unit Cost]])*Table1[[#This Row],[Quantity]]</f>
        <v>541.59</v>
      </c>
      <c r="P373" s="9" t="str">
        <f t="shared" si="5"/>
        <v>Standard</v>
      </c>
      <c r="Q373" s="9" t="str">
        <f>IF(Table1[[#This Row],[Discount]]&gt;=15%,"HIGH",IF(Table1[[#This Row],[Discount]]&gt;=55,"MEDIUM","NONE"))</f>
        <v>NONE</v>
      </c>
      <c r="R373" s="9">
        <f>Table1[[#This Row],[Ship Date]]-Table1[[#This Row],[Order Date]]</f>
        <v>6</v>
      </c>
      <c r="S373" s="9">
        <f>VLOOKUP(Table1[[#This Row],[Region]],Table2[],2,FALSE)</f>
        <v>130000</v>
      </c>
      <c r="T373" s="9">
        <f>INDEX(Table2[Quarterly Target],MATCH(Table1[[#This Row],[Region]],Table2[[Region ]],0))</f>
        <v>130000</v>
      </c>
      <c r="U373" s="9">
        <f>RANK(Table1[[#This Row],[Sales]],Table1[Sales])</f>
        <v>162</v>
      </c>
      <c r="V373" s="21">
        <f>SUM(N$2:N374)</f>
        <v>1170138.1855000004</v>
      </c>
    </row>
    <row r="374" spans="1:24" x14ac:dyDescent="0.25">
      <c r="A374" s="5" t="s">
        <v>854</v>
      </c>
      <c r="B374" s="6" t="s">
        <v>855</v>
      </c>
      <c r="C374" s="6" t="s">
        <v>855</v>
      </c>
      <c r="D374" s="7" t="s">
        <v>24</v>
      </c>
      <c r="E374" s="7" t="s">
        <v>87</v>
      </c>
      <c r="F374" s="7" t="s">
        <v>38</v>
      </c>
      <c r="G374" s="7" t="s">
        <v>26</v>
      </c>
      <c r="H374" s="7" t="s">
        <v>61</v>
      </c>
      <c r="I374" s="7" t="s">
        <v>62</v>
      </c>
      <c r="J374" s="7">
        <v>23</v>
      </c>
      <c r="K374" s="24">
        <v>15.49</v>
      </c>
      <c r="L374" s="8">
        <v>0</v>
      </c>
      <c r="M374" s="20">
        <v>10.65</v>
      </c>
      <c r="N374" s="21">
        <f>(Table1[[#This Row],[Quantity]]*Table1[[#This Row],[Unit Price]])*(1-Table1[[#This Row],[Discount]])</f>
        <v>356.27</v>
      </c>
      <c r="O374" s="21">
        <f>(Table1[[#This Row],[Unit Price]]-Table1[[#This Row],[Unit Cost]])*Table1[[#This Row],[Quantity]]</f>
        <v>111.32</v>
      </c>
      <c r="P374" s="9" t="str">
        <f t="shared" si="5"/>
        <v>Bulk</v>
      </c>
      <c r="Q374" s="9" t="str">
        <f>IF(Table1[[#This Row],[Discount]]&gt;=15%,"HIGH",IF(Table1[[#This Row],[Discount]]&gt;=55,"MEDIUM","NONE"))</f>
        <v>NONE</v>
      </c>
      <c r="R374" s="9">
        <f>Table1[[#This Row],[Ship Date]]-Table1[[#This Row],[Order Date]]</f>
        <v>0</v>
      </c>
      <c r="S374" s="9">
        <f>VLOOKUP(Table1[[#This Row],[Region]],Table2[],2,FALSE)</f>
        <v>120000</v>
      </c>
      <c r="T374" s="9">
        <f>INDEX(Table2[Quarterly Target],MATCH(Table1[[#This Row],[Region]],Table2[[Region ]],0))</f>
        <v>120000</v>
      </c>
      <c r="U374" s="9">
        <f>RANK(Table1[[#This Row],[Sales]],Table1[Sales])</f>
        <v>259</v>
      </c>
      <c r="V374" s="21">
        <f>SUM(N$2:N375)</f>
        <v>1170378.7445000003</v>
      </c>
    </row>
    <row r="375" spans="1:24" x14ac:dyDescent="0.25">
      <c r="A375" s="5" t="s">
        <v>856</v>
      </c>
      <c r="B375" s="6" t="s">
        <v>715</v>
      </c>
      <c r="C375" s="6" t="s">
        <v>715</v>
      </c>
      <c r="D375" s="7" t="s">
        <v>24</v>
      </c>
      <c r="E375" s="7" t="s">
        <v>75</v>
      </c>
      <c r="F375" s="7" t="s">
        <v>25</v>
      </c>
      <c r="G375" s="7" t="s">
        <v>97</v>
      </c>
      <c r="H375" s="7" t="s">
        <v>45</v>
      </c>
      <c r="I375" s="7" t="s">
        <v>83</v>
      </c>
      <c r="J375" s="7">
        <v>1</v>
      </c>
      <c r="K375" s="24">
        <v>253.22</v>
      </c>
      <c r="L375" s="8">
        <v>0.05</v>
      </c>
      <c r="M375" s="20">
        <v>171.32</v>
      </c>
      <c r="N375" s="21">
        <f>(Table1[[#This Row],[Quantity]]*Table1[[#This Row],[Unit Price]])*(1-Table1[[#This Row],[Discount]])</f>
        <v>240.559</v>
      </c>
      <c r="O375" s="21">
        <f>(Table1[[#This Row],[Unit Price]]-Table1[[#This Row],[Unit Cost]])*Table1[[#This Row],[Quantity]]</f>
        <v>81.900000000000006</v>
      </c>
      <c r="P375" s="9" t="str">
        <f t="shared" si="5"/>
        <v>Bulk</v>
      </c>
      <c r="Q375" s="9" t="str">
        <f>IF(Table1[[#This Row],[Discount]]&gt;=15%,"HIGH",IF(Table1[[#This Row],[Discount]]&gt;=55,"MEDIUM","NONE"))</f>
        <v>NONE</v>
      </c>
      <c r="R375" s="9">
        <f>Table1[[#This Row],[Ship Date]]-Table1[[#This Row],[Order Date]]</f>
        <v>0</v>
      </c>
      <c r="S375" s="9">
        <f>VLOOKUP(Table1[[#This Row],[Region]],Table2[],2,FALSE)</f>
        <v>130000</v>
      </c>
      <c r="T375" s="9">
        <f>INDEX(Table2[Quarterly Target],MATCH(Table1[[#This Row],[Region]],Table2[[Region ]],0))</f>
        <v>130000</v>
      </c>
      <c r="U375" s="9">
        <f>RANK(Table1[[#This Row],[Sales]],Table1[Sales])</f>
        <v>294</v>
      </c>
      <c r="V375" s="21">
        <f>SUM(N$2:N376)</f>
        <v>1186051.7045000002</v>
      </c>
    </row>
    <row r="376" spans="1:24" x14ac:dyDescent="0.25">
      <c r="A376" s="5" t="s">
        <v>857</v>
      </c>
      <c r="B376" s="6" t="s">
        <v>858</v>
      </c>
      <c r="C376" s="6" t="s">
        <v>858</v>
      </c>
      <c r="D376" s="7" t="s">
        <v>24</v>
      </c>
      <c r="E376" s="7" t="s">
        <v>122</v>
      </c>
      <c r="F376" s="7" t="s">
        <v>18</v>
      </c>
      <c r="G376" s="7" t="s">
        <v>44</v>
      </c>
      <c r="H376" s="7" t="s">
        <v>20</v>
      </c>
      <c r="I376" s="7" t="s">
        <v>192</v>
      </c>
      <c r="J376" s="7">
        <v>15</v>
      </c>
      <c r="K376" s="24">
        <v>1160.96</v>
      </c>
      <c r="L376" s="8">
        <v>0.1</v>
      </c>
      <c r="M376" s="20">
        <v>778.9</v>
      </c>
      <c r="N376" s="21">
        <f>(Table1[[#This Row],[Quantity]]*Table1[[#This Row],[Unit Price]])*(1-Table1[[#This Row],[Discount]])</f>
        <v>15672.960000000001</v>
      </c>
      <c r="O376" s="21">
        <f>(Table1[[#This Row],[Unit Price]]-Table1[[#This Row],[Unit Cost]])*Table1[[#This Row],[Quantity]]</f>
        <v>5730.9000000000005</v>
      </c>
      <c r="P376" s="9" t="str">
        <f t="shared" si="5"/>
        <v>Standard</v>
      </c>
      <c r="Q376" s="9" t="str">
        <f>IF(Table1[[#This Row],[Discount]]&gt;=15%,"HIGH",IF(Table1[[#This Row],[Discount]]&gt;=55,"MEDIUM","NONE"))</f>
        <v>NONE</v>
      </c>
      <c r="R376" s="9">
        <f>Table1[[#This Row],[Ship Date]]-Table1[[#This Row],[Order Date]]</f>
        <v>0</v>
      </c>
      <c r="S376" s="9">
        <f>VLOOKUP(Table1[[#This Row],[Region]],Table2[],2,FALSE)</f>
        <v>140000</v>
      </c>
      <c r="T376" s="9">
        <f>INDEX(Table2[Quarterly Target],MATCH(Table1[[#This Row],[Region]],Table2[[Region ]],0))</f>
        <v>140000</v>
      </c>
      <c r="U376" s="9">
        <f>RANK(Table1[[#This Row],[Sales]],Table1[Sales])</f>
        <v>10</v>
      </c>
      <c r="V376" s="21">
        <f>SUM(N$2:N377)</f>
        <v>1186149.1685000001</v>
      </c>
    </row>
    <row r="377" spans="1:24" x14ac:dyDescent="0.25">
      <c r="A377" s="5" t="s">
        <v>859</v>
      </c>
      <c r="B377" s="6" t="s">
        <v>860</v>
      </c>
      <c r="C377" s="6" t="s">
        <v>182</v>
      </c>
      <c r="D377" s="7" t="s">
        <v>30</v>
      </c>
      <c r="E377" s="7" t="s">
        <v>66</v>
      </c>
      <c r="F377" s="7" t="s">
        <v>43</v>
      </c>
      <c r="G377" s="7" t="s">
        <v>67</v>
      </c>
      <c r="H377" s="7" t="s">
        <v>61</v>
      </c>
      <c r="I377" s="7" t="s">
        <v>72</v>
      </c>
      <c r="J377" s="7">
        <v>3</v>
      </c>
      <c r="K377" s="24">
        <v>40.61</v>
      </c>
      <c r="L377" s="8">
        <v>0.2</v>
      </c>
      <c r="M377" s="20">
        <v>32.43</v>
      </c>
      <c r="N377" s="21">
        <f>(Table1[[#This Row],[Quantity]]*Table1[[#This Row],[Unit Price]])*(1-Table1[[#This Row],[Discount]])</f>
        <v>97.463999999999999</v>
      </c>
      <c r="O377" s="21">
        <f>(Table1[[#This Row],[Unit Price]]-Table1[[#This Row],[Unit Cost]])*Table1[[#This Row],[Quantity]]</f>
        <v>24.54</v>
      </c>
      <c r="P377" s="9" t="str">
        <f t="shared" si="5"/>
        <v>Bulk</v>
      </c>
      <c r="Q377" s="9" t="str">
        <f>IF(Table1[[#This Row],[Discount]]&gt;=15%,"HIGH",IF(Table1[[#This Row],[Discount]]&gt;=55,"MEDIUM","NONE"))</f>
        <v>HIGH</v>
      </c>
      <c r="R377" s="9">
        <f>Table1[[#This Row],[Ship Date]]-Table1[[#This Row],[Order Date]]</f>
        <v>3</v>
      </c>
      <c r="S377" s="9">
        <f>VLOOKUP(Table1[[#This Row],[Region]],Table2[],2,FALSE)</f>
        <v>150000</v>
      </c>
      <c r="T377" s="9">
        <f>INDEX(Table2[Quarterly Target],MATCH(Table1[[#This Row],[Region]],Table2[[Region ]],0))</f>
        <v>150000</v>
      </c>
      <c r="U377" s="9">
        <f>RANK(Table1[[#This Row],[Sales]],Table1[Sales])</f>
        <v>357</v>
      </c>
      <c r="V377" s="21">
        <f>SUM(N$2:N378)</f>
        <v>1186196.1735</v>
      </c>
    </row>
    <row r="378" spans="1:24" x14ac:dyDescent="0.25">
      <c r="A378" s="5" t="s">
        <v>861</v>
      </c>
      <c r="B378" s="6" t="s">
        <v>862</v>
      </c>
      <c r="C378" s="6" t="s">
        <v>863</v>
      </c>
      <c r="D378" s="7" t="s">
        <v>16</v>
      </c>
      <c r="E378" s="7" t="s">
        <v>91</v>
      </c>
      <c r="F378" s="7" t="s">
        <v>38</v>
      </c>
      <c r="G378" s="7" t="s">
        <v>44</v>
      </c>
      <c r="H378" s="7" t="s">
        <v>33</v>
      </c>
      <c r="I378" s="7" t="s">
        <v>153</v>
      </c>
      <c r="J378" s="7">
        <v>10</v>
      </c>
      <c r="K378" s="24">
        <v>5.53</v>
      </c>
      <c r="L378" s="8">
        <v>0.15</v>
      </c>
      <c r="M378" s="20">
        <v>4.08</v>
      </c>
      <c r="N378" s="21">
        <f>(Table1[[#This Row],[Quantity]]*Table1[[#This Row],[Unit Price]])*(1-Table1[[#This Row],[Discount]])</f>
        <v>47.005000000000003</v>
      </c>
      <c r="O378" s="21">
        <f>(Table1[[#This Row],[Unit Price]]-Table1[[#This Row],[Unit Cost]])*Table1[[#This Row],[Quantity]]</f>
        <v>14.500000000000002</v>
      </c>
      <c r="P378" s="9" t="str">
        <f t="shared" si="5"/>
        <v>Standard</v>
      </c>
      <c r="Q378" s="9" t="str">
        <f>IF(Table1[[#This Row],[Discount]]&gt;=15%,"HIGH",IF(Table1[[#This Row],[Discount]]&gt;=55,"MEDIUM","NONE"))</f>
        <v>HIGH</v>
      </c>
      <c r="R378" s="9">
        <f>Table1[[#This Row],[Ship Date]]-Table1[[#This Row],[Order Date]]</f>
        <v>6</v>
      </c>
      <c r="S378" s="9">
        <f>VLOOKUP(Table1[[#This Row],[Region]],Table2[],2,FALSE)</f>
        <v>120000</v>
      </c>
      <c r="T378" s="9">
        <f>INDEX(Table2[Quarterly Target],MATCH(Table1[[#This Row],[Region]],Table2[[Region ]],0))</f>
        <v>120000</v>
      </c>
      <c r="U378" s="9">
        <f>RANK(Table1[[#This Row],[Sales]],Table1[Sales])</f>
        <v>385</v>
      </c>
      <c r="V378" s="21">
        <f>SUM(N$2:N379)</f>
        <v>1187689.9125000001</v>
      </c>
    </row>
    <row r="379" spans="1:24" x14ac:dyDescent="0.25">
      <c r="A379" s="5" t="s">
        <v>864</v>
      </c>
      <c r="B379" s="6" t="s">
        <v>845</v>
      </c>
      <c r="C379" s="6" t="s">
        <v>845</v>
      </c>
      <c r="D379" s="7" t="s">
        <v>24</v>
      </c>
      <c r="E379" s="7" t="s">
        <v>206</v>
      </c>
      <c r="F379" s="7" t="s">
        <v>18</v>
      </c>
      <c r="G379" s="7" t="s">
        <v>19</v>
      </c>
      <c r="H379" s="7" t="s">
        <v>45</v>
      </c>
      <c r="I379" s="7" t="s">
        <v>143</v>
      </c>
      <c r="J379" s="7">
        <v>9</v>
      </c>
      <c r="K379" s="24">
        <v>195.26</v>
      </c>
      <c r="L379" s="8">
        <v>0.15</v>
      </c>
      <c r="M379" s="20">
        <v>140.74</v>
      </c>
      <c r="N379" s="21">
        <f>(Table1[[#This Row],[Quantity]]*Table1[[#This Row],[Unit Price]])*(1-Table1[[#This Row],[Discount]])</f>
        <v>1493.7389999999998</v>
      </c>
      <c r="O379" s="21">
        <f>(Table1[[#This Row],[Unit Price]]-Table1[[#This Row],[Unit Cost]])*Table1[[#This Row],[Quantity]]</f>
        <v>490.67999999999984</v>
      </c>
      <c r="P379" s="9" t="str">
        <f t="shared" si="5"/>
        <v>Standard</v>
      </c>
      <c r="Q379" s="9" t="str">
        <f>IF(Table1[[#This Row],[Discount]]&gt;=15%,"HIGH",IF(Table1[[#This Row],[Discount]]&gt;=55,"MEDIUM","NONE"))</f>
        <v>HIGH</v>
      </c>
      <c r="R379" s="9">
        <f>Table1[[#This Row],[Ship Date]]-Table1[[#This Row],[Order Date]]</f>
        <v>0</v>
      </c>
      <c r="S379" s="9">
        <f>VLOOKUP(Table1[[#This Row],[Region]],Table2[],2,FALSE)</f>
        <v>140000</v>
      </c>
      <c r="T379" s="9">
        <f>INDEX(Table2[Quarterly Target],MATCH(Table1[[#This Row],[Region]],Table2[[Region ]],0))</f>
        <v>140000</v>
      </c>
      <c r="U379" s="9">
        <f>RANK(Table1[[#This Row],[Sales]],Table1[Sales])</f>
        <v>152</v>
      </c>
      <c r="V379" s="21">
        <f>SUM(N$2:N380)</f>
        <v>1193121.0325000002</v>
      </c>
      <c r="X379" s="18"/>
    </row>
    <row r="380" spans="1:24" x14ac:dyDescent="0.25">
      <c r="A380" s="5" t="s">
        <v>865</v>
      </c>
      <c r="B380" s="6" t="s">
        <v>780</v>
      </c>
      <c r="C380" s="6" t="s">
        <v>437</v>
      </c>
      <c r="D380" s="7" t="s">
        <v>16</v>
      </c>
      <c r="E380" s="7" t="s">
        <v>87</v>
      </c>
      <c r="F380" s="7" t="s">
        <v>18</v>
      </c>
      <c r="G380" s="7" t="s">
        <v>19</v>
      </c>
      <c r="H380" s="7" t="s">
        <v>45</v>
      </c>
      <c r="I380" s="7" t="s">
        <v>68</v>
      </c>
      <c r="J380" s="7">
        <v>8</v>
      </c>
      <c r="K380" s="24">
        <v>678.89</v>
      </c>
      <c r="L380" s="8">
        <v>0</v>
      </c>
      <c r="M380" s="20">
        <v>399.87</v>
      </c>
      <c r="N380" s="21">
        <f>(Table1[[#This Row],[Quantity]]*Table1[[#This Row],[Unit Price]])*(1-Table1[[#This Row],[Discount]])</f>
        <v>5431.12</v>
      </c>
      <c r="O380" s="21">
        <f>(Table1[[#This Row],[Unit Price]]-Table1[[#This Row],[Unit Cost]])*Table1[[#This Row],[Quantity]]</f>
        <v>2232.16</v>
      </c>
      <c r="P380" s="9" t="str">
        <f t="shared" si="5"/>
        <v>Standard</v>
      </c>
      <c r="Q380" s="9" t="str">
        <f>IF(Table1[[#This Row],[Discount]]&gt;=15%,"HIGH",IF(Table1[[#This Row],[Discount]]&gt;=55,"MEDIUM","NONE"))</f>
        <v>NONE</v>
      </c>
      <c r="R380" s="9">
        <f>Table1[[#This Row],[Ship Date]]-Table1[[#This Row],[Order Date]]</f>
        <v>4</v>
      </c>
      <c r="S380" s="9">
        <f>VLOOKUP(Table1[[#This Row],[Region]],Table2[],2,FALSE)</f>
        <v>140000</v>
      </c>
      <c r="T380" s="9">
        <f>INDEX(Table2[Quarterly Target],MATCH(Table1[[#This Row],[Region]],Table2[[Region ]],0))</f>
        <v>140000</v>
      </c>
      <c r="U380" s="9">
        <f>RANK(Table1[[#This Row],[Sales]],Table1[Sales])</f>
        <v>88</v>
      </c>
      <c r="V380" s="21">
        <f>SUM(N$2:N381)</f>
        <v>1193801.0425000002</v>
      </c>
    </row>
    <row r="381" spans="1:24" x14ac:dyDescent="0.25">
      <c r="A381" s="5" t="s">
        <v>866</v>
      </c>
      <c r="B381" s="6" t="s">
        <v>761</v>
      </c>
      <c r="C381" s="6" t="s">
        <v>355</v>
      </c>
      <c r="D381" s="7" t="s">
        <v>30</v>
      </c>
      <c r="E381" s="7" t="s">
        <v>122</v>
      </c>
      <c r="F381" s="7" t="s">
        <v>43</v>
      </c>
      <c r="G381" s="7" t="s">
        <v>26</v>
      </c>
      <c r="H381" s="7" t="s">
        <v>61</v>
      </c>
      <c r="I381" s="7" t="s">
        <v>72</v>
      </c>
      <c r="J381" s="7">
        <v>12</v>
      </c>
      <c r="K381" s="24">
        <v>59.65</v>
      </c>
      <c r="L381" s="8">
        <v>0.05</v>
      </c>
      <c r="M381" s="20">
        <v>46.2</v>
      </c>
      <c r="N381" s="21">
        <f>(Table1[[#This Row],[Quantity]]*Table1[[#This Row],[Unit Price]])*(1-Table1[[#This Row],[Discount]])</f>
        <v>680.00999999999988</v>
      </c>
      <c r="O381" s="21">
        <f>(Table1[[#This Row],[Unit Price]]-Table1[[#This Row],[Unit Cost]])*Table1[[#This Row],[Quantity]]</f>
        <v>161.39999999999995</v>
      </c>
      <c r="P381" s="9" t="str">
        <f t="shared" si="5"/>
        <v>Standard</v>
      </c>
      <c r="Q381" s="9" t="str">
        <f>IF(Table1[[#This Row],[Discount]]&gt;=15%,"HIGH",IF(Table1[[#This Row],[Discount]]&gt;=55,"MEDIUM","NONE"))</f>
        <v>NONE</v>
      </c>
      <c r="R381" s="9">
        <f>Table1[[#This Row],[Ship Date]]-Table1[[#This Row],[Order Date]]</f>
        <v>3</v>
      </c>
      <c r="S381" s="9">
        <f>VLOOKUP(Table1[[#This Row],[Region]],Table2[],2,FALSE)</f>
        <v>150000</v>
      </c>
      <c r="T381" s="9">
        <f>INDEX(Table2[Quarterly Target],MATCH(Table1[[#This Row],[Region]],Table2[[Region ]],0))</f>
        <v>150000</v>
      </c>
      <c r="U381" s="9">
        <f>RANK(Table1[[#This Row],[Sales]],Table1[Sales])</f>
        <v>204</v>
      </c>
      <c r="V381" s="21">
        <f>SUM(N$2:N382)</f>
        <v>1194323.8180000002</v>
      </c>
    </row>
    <row r="382" spans="1:24" x14ac:dyDescent="0.25">
      <c r="A382" s="5" t="s">
        <v>867</v>
      </c>
      <c r="B382" s="6" t="s">
        <v>868</v>
      </c>
      <c r="C382" s="6" t="s">
        <v>869</v>
      </c>
      <c r="D382" s="7" t="s">
        <v>16</v>
      </c>
      <c r="E382" s="7" t="s">
        <v>109</v>
      </c>
      <c r="F382" s="7" t="s">
        <v>25</v>
      </c>
      <c r="G382" s="7" t="s">
        <v>50</v>
      </c>
      <c r="H382" s="7" t="s">
        <v>33</v>
      </c>
      <c r="I382" s="7" t="s">
        <v>76</v>
      </c>
      <c r="J382" s="7">
        <v>17</v>
      </c>
      <c r="K382" s="24">
        <v>32.369999999999997</v>
      </c>
      <c r="L382" s="8">
        <v>0.05</v>
      </c>
      <c r="M382" s="20">
        <v>25.41</v>
      </c>
      <c r="N382" s="21">
        <f>(Table1[[#This Row],[Quantity]]*Table1[[#This Row],[Unit Price]])*(1-Table1[[#This Row],[Discount]])</f>
        <v>522.77549999999997</v>
      </c>
      <c r="O382" s="21">
        <f>(Table1[[#This Row],[Unit Price]]-Table1[[#This Row],[Unit Cost]])*Table1[[#This Row],[Quantity]]</f>
        <v>118.31999999999995</v>
      </c>
      <c r="P382" s="9" t="str">
        <f t="shared" si="5"/>
        <v>Bulk</v>
      </c>
      <c r="Q382" s="9" t="str">
        <f>IF(Table1[[#This Row],[Discount]]&gt;=15%,"HIGH",IF(Table1[[#This Row],[Discount]]&gt;=55,"MEDIUM","NONE"))</f>
        <v>NONE</v>
      </c>
      <c r="R382" s="9">
        <f>Table1[[#This Row],[Ship Date]]-Table1[[#This Row],[Order Date]]</f>
        <v>4</v>
      </c>
      <c r="S382" s="9">
        <f>VLOOKUP(Table1[[#This Row],[Region]],Table2[],2,FALSE)</f>
        <v>130000</v>
      </c>
      <c r="T382" s="9">
        <f>INDEX(Table2[Quarterly Target],MATCH(Table1[[#This Row],[Region]],Table2[[Region ]],0))</f>
        <v>130000</v>
      </c>
      <c r="U382" s="9">
        <f>RANK(Table1[[#This Row],[Sales]],Table1[Sales])</f>
        <v>221</v>
      </c>
      <c r="V382" s="21">
        <f>SUM(N$2:N383)</f>
        <v>1195618.6145000001</v>
      </c>
    </row>
    <row r="383" spans="1:24" x14ac:dyDescent="0.25">
      <c r="A383" s="5" t="s">
        <v>870</v>
      </c>
      <c r="B383" s="6" t="s">
        <v>871</v>
      </c>
      <c r="C383" s="6" t="s">
        <v>872</v>
      </c>
      <c r="D383" s="7" t="s">
        <v>30</v>
      </c>
      <c r="E383" s="7" t="s">
        <v>71</v>
      </c>
      <c r="F383" s="7" t="s">
        <v>43</v>
      </c>
      <c r="G383" s="7" t="s">
        <v>82</v>
      </c>
      <c r="H383" s="7" t="s">
        <v>45</v>
      </c>
      <c r="I383" s="7" t="s">
        <v>143</v>
      </c>
      <c r="J383" s="7">
        <v>23</v>
      </c>
      <c r="K383" s="24">
        <v>66.23</v>
      </c>
      <c r="L383" s="8">
        <v>0.15</v>
      </c>
      <c r="M383" s="20">
        <v>39.92</v>
      </c>
      <c r="N383" s="21">
        <f>(Table1[[#This Row],[Quantity]]*Table1[[#This Row],[Unit Price]])*(1-Table1[[#This Row],[Discount]])</f>
        <v>1294.7965000000002</v>
      </c>
      <c r="O383" s="21">
        <f>(Table1[[#This Row],[Unit Price]]-Table1[[#This Row],[Unit Cost]])*Table1[[#This Row],[Quantity]]</f>
        <v>605.13000000000011</v>
      </c>
      <c r="P383" s="9" t="str">
        <f t="shared" si="5"/>
        <v>Bulk</v>
      </c>
      <c r="Q383" s="9" t="str">
        <f>IF(Table1[[#This Row],[Discount]]&gt;=15%,"HIGH",IF(Table1[[#This Row],[Discount]]&gt;=55,"MEDIUM","NONE"))</f>
        <v>HIGH</v>
      </c>
      <c r="R383" s="9">
        <f>Table1[[#This Row],[Ship Date]]-Table1[[#This Row],[Order Date]]</f>
        <v>3</v>
      </c>
      <c r="S383" s="9">
        <f>VLOOKUP(Table1[[#This Row],[Region]],Table2[],2,FALSE)</f>
        <v>150000</v>
      </c>
      <c r="T383" s="9">
        <f>INDEX(Table2[Quarterly Target],MATCH(Table1[[#This Row],[Region]],Table2[[Region ]],0))</f>
        <v>150000</v>
      </c>
      <c r="U383" s="9">
        <f>RANK(Table1[[#This Row],[Sales]],Table1[Sales])</f>
        <v>161</v>
      </c>
      <c r="V383" s="21">
        <f>SUM(N$2:N384)</f>
        <v>1196233.3345000001</v>
      </c>
    </row>
    <row r="384" spans="1:24" x14ac:dyDescent="0.25">
      <c r="A384" s="5" t="s">
        <v>873</v>
      </c>
      <c r="B384" s="6" t="s">
        <v>64</v>
      </c>
      <c r="C384" s="6" t="s">
        <v>874</v>
      </c>
      <c r="D384" s="7" t="s">
        <v>30</v>
      </c>
      <c r="E384" s="7" t="s">
        <v>37</v>
      </c>
      <c r="F384" s="7" t="s">
        <v>38</v>
      </c>
      <c r="G384" s="7" t="s">
        <v>19</v>
      </c>
      <c r="H384" s="7" t="s">
        <v>33</v>
      </c>
      <c r="I384" s="7" t="s">
        <v>51</v>
      </c>
      <c r="J384" s="7">
        <v>16</v>
      </c>
      <c r="K384" s="24">
        <v>38.42</v>
      </c>
      <c r="L384" s="8">
        <v>0</v>
      </c>
      <c r="M384" s="20">
        <v>24.65</v>
      </c>
      <c r="N384" s="21">
        <f>(Table1[[#This Row],[Quantity]]*Table1[[#This Row],[Unit Price]])*(1-Table1[[#This Row],[Discount]])</f>
        <v>614.72</v>
      </c>
      <c r="O384" s="21">
        <f>(Table1[[#This Row],[Unit Price]]-Table1[[#This Row],[Unit Cost]])*Table1[[#This Row],[Quantity]]</f>
        <v>220.32000000000005</v>
      </c>
      <c r="P384" s="9" t="str">
        <f t="shared" si="5"/>
        <v>Bulk</v>
      </c>
      <c r="Q384" s="9" t="str">
        <f>IF(Table1[[#This Row],[Discount]]&gt;=15%,"HIGH",IF(Table1[[#This Row],[Discount]]&gt;=55,"MEDIUM","NONE"))</f>
        <v>NONE</v>
      </c>
      <c r="R384" s="9">
        <f>Table1[[#This Row],[Ship Date]]-Table1[[#This Row],[Order Date]]</f>
        <v>3</v>
      </c>
      <c r="S384" s="9">
        <f>VLOOKUP(Table1[[#This Row],[Region]],Table2[],2,FALSE)</f>
        <v>120000</v>
      </c>
      <c r="T384" s="9">
        <f>INDEX(Table2[Quarterly Target],MATCH(Table1[[#This Row],[Region]],Table2[[Region ]],0))</f>
        <v>120000</v>
      </c>
      <c r="U384" s="9">
        <f>RANK(Table1[[#This Row],[Sales]],Table1[Sales])</f>
        <v>211</v>
      </c>
      <c r="V384" s="21">
        <f>SUM(N$2:N385)</f>
        <v>1196534.1685000001</v>
      </c>
    </row>
    <row r="385" spans="1:22" x14ac:dyDescent="0.25">
      <c r="A385" s="5" t="s">
        <v>875</v>
      </c>
      <c r="B385" s="6" t="s">
        <v>806</v>
      </c>
      <c r="C385" s="6" t="s">
        <v>604</v>
      </c>
      <c r="D385" s="7" t="s">
        <v>30</v>
      </c>
      <c r="E385" s="7" t="s">
        <v>55</v>
      </c>
      <c r="F385" s="7" t="s">
        <v>18</v>
      </c>
      <c r="G385" s="7" t="s">
        <v>44</v>
      </c>
      <c r="H385" s="7" t="s">
        <v>61</v>
      </c>
      <c r="I385" s="7" t="s">
        <v>169</v>
      </c>
      <c r="J385" s="7">
        <v>6</v>
      </c>
      <c r="K385" s="24">
        <v>55.71</v>
      </c>
      <c r="L385" s="8">
        <v>0.1</v>
      </c>
      <c r="M385" s="20">
        <v>40.19</v>
      </c>
      <c r="N385" s="21">
        <f>(Table1[[#This Row],[Quantity]]*Table1[[#This Row],[Unit Price]])*(1-Table1[[#This Row],[Discount]])</f>
        <v>300.834</v>
      </c>
      <c r="O385" s="21">
        <f>(Table1[[#This Row],[Unit Price]]-Table1[[#This Row],[Unit Cost]])*Table1[[#This Row],[Quantity]]</f>
        <v>93.120000000000019</v>
      </c>
      <c r="P385" s="9" t="str">
        <f t="shared" si="5"/>
        <v>Bulk</v>
      </c>
      <c r="Q385" s="9" t="str">
        <f>IF(Table1[[#This Row],[Discount]]&gt;=15%,"HIGH",IF(Table1[[#This Row],[Discount]]&gt;=55,"MEDIUM","NONE"))</f>
        <v>NONE</v>
      </c>
      <c r="R385" s="9">
        <f>Table1[[#This Row],[Ship Date]]-Table1[[#This Row],[Order Date]]</f>
        <v>3</v>
      </c>
      <c r="S385" s="9">
        <f>VLOOKUP(Table1[[#This Row],[Region]],Table2[],2,FALSE)</f>
        <v>140000</v>
      </c>
      <c r="T385" s="9">
        <f>INDEX(Table2[Quarterly Target],MATCH(Table1[[#This Row],[Region]],Table2[[Region ]],0))</f>
        <v>140000</v>
      </c>
      <c r="U385" s="9">
        <f>RANK(Table1[[#This Row],[Sales]],Table1[Sales])</f>
        <v>275</v>
      </c>
      <c r="V385" s="21">
        <f>SUM(N$2:N386)</f>
        <v>1196557.0920000002</v>
      </c>
    </row>
    <row r="386" spans="1:22" x14ac:dyDescent="0.25">
      <c r="A386" s="5" t="s">
        <v>876</v>
      </c>
      <c r="B386" s="6" t="s">
        <v>877</v>
      </c>
      <c r="C386" s="6" t="s">
        <v>878</v>
      </c>
      <c r="D386" s="7" t="s">
        <v>30</v>
      </c>
      <c r="E386" s="7" t="s">
        <v>59</v>
      </c>
      <c r="F386" s="7" t="s">
        <v>25</v>
      </c>
      <c r="G386" s="7" t="s">
        <v>50</v>
      </c>
      <c r="H386" s="7" t="s">
        <v>61</v>
      </c>
      <c r="I386" s="7" t="s">
        <v>62</v>
      </c>
      <c r="J386" s="7">
        <v>1</v>
      </c>
      <c r="K386" s="24">
        <v>24.13</v>
      </c>
      <c r="L386" s="8">
        <v>0.05</v>
      </c>
      <c r="M386" s="20">
        <v>14.08</v>
      </c>
      <c r="N386" s="21">
        <f>(Table1[[#This Row],[Quantity]]*Table1[[#This Row],[Unit Price]])*(1-Table1[[#This Row],[Discount]])</f>
        <v>22.923499999999997</v>
      </c>
      <c r="O386" s="21">
        <f>(Table1[[#This Row],[Unit Price]]-Table1[[#This Row],[Unit Cost]])*Table1[[#This Row],[Quantity]]</f>
        <v>10.049999999999999</v>
      </c>
      <c r="P386" s="9" t="str">
        <f t="shared" ref="P386:P401" si="6">IF(J385&gt;10,"Bulk","Standard")</f>
        <v>Standard</v>
      </c>
      <c r="Q386" s="9" t="str">
        <f>IF(Table1[[#This Row],[Discount]]&gt;=15%,"HIGH",IF(Table1[[#This Row],[Discount]]&gt;=55,"MEDIUM","NONE"))</f>
        <v>NONE</v>
      </c>
      <c r="R386" s="9">
        <f>Table1[[#This Row],[Ship Date]]-Table1[[#This Row],[Order Date]]</f>
        <v>3</v>
      </c>
      <c r="S386" s="9">
        <f>VLOOKUP(Table1[[#This Row],[Region]],Table2[],2,FALSE)</f>
        <v>130000</v>
      </c>
      <c r="T386" s="9">
        <f>INDEX(Table2[Quarterly Target],MATCH(Table1[[#This Row],[Region]],Table2[[Region ]],0))</f>
        <v>130000</v>
      </c>
      <c r="U386" s="9">
        <f>RANK(Table1[[#This Row],[Sales]],Table1[Sales])</f>
        <v>393</v>
      </c>
      <c r="V386" s="21">
        <f>SUM(N$2:N387)</f>
        <v>1196745.9220000003</v>
      </c>
    </row>
    <row r="387" spans="1:22" x14ac:dyDescent="0.25">
      <c r="A387" s="5" t="s">
        <v>879</v>
      </c>
      <c r="B387" s="6" t="s">
        <v>880</v>
      </c>
      <c r="C387" s="6" t="s">
        <v>468</v>
      </c>
      <c r="D387" s="7" t="s">
        <v>16</v>
      </c>
      <c r="E387" s="7" t="s">
        <v>133</v>
      </c>
      <c r="F387" s="7" t="s">
        <v>38</v>
      </c>
      <c r="G387" s="7" t="s">
        <v>97</v>
      </c>
      <c r="H387" s="7" t="s">
        <v>33</v>
      </c>
      <c r="I387" s="7" t="s">
        <v>153</v>
      </c>
      <c r="J387" s="7">
        <v>23</v>
      </c>
      <c r="K387" s="24">
        <v>8.2100000000000009</v>
      </c>
      <c r="L387" s="8">
        <v>0</v>
      </c>
      <c r="M387" s="20">
        <v>6.19</v>
      </c>
      <c r="N387" s="21">
        <f>(Table1[[#This Row],[Quantity]]*Table1[[#This Row],[Unit Price]])*(1-Table1[[#This Row],[Discount]])</f>
        <v>188.83</v>
      </c>
      <c r="O387" s="21">
        <f>(Table1[[#This Row],[Unit Price]]-Table1[[#This Row],[Unit Cost]])*Table1[[#This Row],[Quantity]]</f>
        <v>46.460000000000008</v>
      </c>
      <c r="P387" s="9" t="str">
        <f t="shared" si="6"/>
        <v>Standard</v>
      </c>
      <c r="Q387" s="9" t="str">
        <f>IF(Table1[[#This Row],[Discount]]&gt;=15%,"HIGH",IF(Table1[[#This Row],[Discount]]&gt;=55,"MEDIUM","NONE"))</f>
        <v>NONE</v>
      </c>
      <c r="R387" s="9">
        <f>Table1[[#This Row],[Ship Date]]-Table1[[#This Row],[Order Date]]</f>
        <v>7</v>
      </c>
      <c r="S387" s="9">
        <f>VLOOKUP(Table1[[#This Row],[Region]],Table2[],2,FALSE)</f>
        <v>120000</v>
      </c>
      <c r="T387" s="9">
        <f>INDEX(Table2[Quarterly Target],MATCH(Table1[[#This Row],[Region]],Table2[[Region ]],0))</f>
        <v>120000</v>
      </c>
      <c r="U387" s="9">
        <f>RANK(Table1[[#This Row],[Sales]],Table1[Sales])</f>
        <v>321</v>
      </c>
      <c r="V387" s="21">
        <f>SUM(N$2:N388)</f>
        <v>1196763.5720000002</v>
      </c>
    </row>
    <row r="388" spans="1:22" x14ac:dyDescent="0.25">
      <c r="A388" s="5" t="s">
        <v>881</v>
      </c>
      <c r="B388" s="6" t="s">
        <v>102</v>
      </c>
      <c r="C388" s="6" t="s">
        <v>641</v>
      </c>
      <c r="D388" s="7" t="s">
        <v>30</v>
      </c>
      <c r="E388" s="7" t="s">
        <v>206</v>
      </c>
      <c r="F388" s="7" t="s">
        <v>18</v>
      </c>
      <c r="G388" s="7" t="s">
        <v>44</v>
      </c>
      <c r="H388" s="7" t="s">
        <v>33</v>
      </c>
      <c r="I388" s="7" t="s">
        <v>39</v>
      </c>
      <c r="J388" s="7">
        <v>1</v>
      </c>
      <c r="K388" s="24">
        <v>17.649999999999999</v>
      </c>
      <c r="L388" s="8">
        <v>0</v>
      </c>
      <c r="M388" s="20">
        <v>13.53</v>
      </c>
      <c r="N388" s="21">
        <f>(Table1[[#This Row],[Quantity]]*Table1[[#This Row],[Unit Price]])*(1-Table1[[#This Row],[Discount]])</f>
        <v>17.649999999999999</v>
      </c>
      <c r="O388" s="21">
        <f>(Table1[[#This Row],[Unit Price]]-Table1[[#This Row],[Unit Cost]])*Table1[[#This Row],[Quantity]]</f>
        <v>4.1199999999999992</v>
      </c>
      <c r="P388" s="9" t="str">
        <f t="shared" si="6"/>
        <v>Bulk</v>
      </c>
      <c r="Q388" s="9" t="str">
        <f>IF(Table1[[#This Row],[Discount]]&gt;=15%,"HIGH",IF(Table1[[#This Row],[Discount]]&gt;=55,"MEDIUM","NONE"))</f>
        <v>NONE</v>
      </c>
      <c r="R388" s="9">
        <f>Table1[[#This Row],[Ship Date]]-Table1[[#This Row],[Order Date]]</f>
        <v>2</v>
      </c>
      <c r="S388" s="9">
        <f>VLOOKUP(Table1[[#This Row],[Region]],Table2[],2,FALSE)</f>
        <v>140000</v>
      </c>
      <c r="T388" s="9">
        <f>INDEX(Table2[Quarterly Target],MATCH(Table1[[#This Row],[Region]],Table2[[Region ]],0))</f>
        <v>140000</v>
      </c>
      <c r="U388" s="9">
        <f>RANK(Table1[[#This Row],[Sales]],Table1[Sales])</f>
        <v>395</v>
      </c>
      <c r="V388" s="21">
        <f>SUM(N$2:N389)</f>
        <v>1197076.2740000002</v>
      </c>
    </row>
    <row r="389" spans="1:22" x14ac:dyDescent="0.25">
      <c r="A389" s="5" t="s">
        <v>882</v>
      </c>
      <c r="B389" s="6" t="s">
        <v>461</v>
      </c>
      <c r="C389" s="6" t="s">
        <v>883</v>
      </c>
      <c r="D389" s="7" t="s">
        <v>16</v>
      </c>
      <c r="E389" s="7" t="s">
        <v>66</v>
      </c>
      <c r="F389" s="7" t="s">
        <v>38</v>
      </c>
      <c r="G389" s="7" t="s">
        <v>82</v>
      </c>
      <c r="H389" s="7" t="s">
        <v>33</v>
      </c>
      <c r="I389" s="7" t="s">
        <v>39</v>
      </c>
      <c r="J389" s="7">
        <v>13</v>
      </c>
      <c r="K389" s="24">
        <v>25.32</v>
      </c>
      <c r="L389" s="8">
        <v>0.05</v>
      </c>
      <c r="M389" s="20">
        <v>17.920000000000002</v>
      </c>
      <c r="N389" s="21">
        <f>(Table1[[#This Row],[Quantity]]*Table1[[#This Row],[Unit Price]])*(1-Table1[[#This Row],[Discount]])</f>
        <v>312.702</v>
      </c>
      <c r="O389" s="21">
        <f>(Table1[[#This Row],[Unit Price]]-Table1[[#This Row],[Unit Cost]])*Table1[[#This Row],[Quantity]]</f>
        <v>96.199999999999989</v>
      </c>
      <c r="P389" s="9" t="str">
        <f t="shared" si="6"/>
        <v>Standard</v>
      </c>
      <c r="Q389" s="9" t="str">
        <f>IF(Table1[[#This Row],[Discount]]&gt;=15%,"HIGH",IF(Table1[[#This Row],[Discount]]&gt;=55,"MEDIUM","NONE"))</f>
        <v>NONE</v>
      </c>
      <c r="R389" s="9">
        <f>Table1[[#This Row],[Ship Date]]-Table1[[#This Row],[Order Date]]</f>
        <v>5</v>
      </c>
      <c r="S389" s="9">
        <f>VLOOKUP(Table1[[#This Row],[Region]],Table2[],2,FALSE)</f>
        <v>120000</v>
      </c>
      <c r="T389" s="9">
        <f>INDEX(Table2[Quarterly Target],MATCH(Table1[[#This Row],[Region]],Table2[[Region ]],0))</f>
        <v>120000</v>
      </c>
      <c r="U389" s="9">
        <f>RANK(Table1[[#This Row],[Sales]],Table1[Sales])</f>
        <v>269</v>
      </c>
      <c r="V389" s="21">
        <f>SUM(N$2:N390)</f>
        <v>1197100.7540000002</v>
      </c>
    </row>
    <row r="390" spans="1:22" x14ac:dyDescent="0.25">
      <c r="A390" s="5" t="s">
        <v>884</v>
      </c>
      <c r="B390" s="6" t="s">
        <v>849</v>
      </c>
      <c r="C390" s="6" t="s">
        <v>885</v>
      </c>
      <c r="D390" s="7" t="s">
        <v>16</v>
      </c>
      <c r="E390" s="7" t="s">
        <v>109</v>
      </c>
      <c r="F390" s="7" t="s">
        <v>38</v>
      </c>
      <c r="G390" s="7" t="s">
        <v>97</v>
      </c>
      <c r="H390" s="7" t="s">
        <v>33</v>
      </c>
      <c r="I390" s="7" t="s">
        <v>76</v>
      </c>
      <c r="J390" s="7">
        <v>3</v>
      </c>
      <c r="K390" s="24">
        <v>8.16</v>
      </c>
      <c r="L390" s="8">
        <v>0</v>
      </c>
      <c r="M390" s="20">
        <v>5.13</v>
      </c>
      <c r="N390" s="21">
        <f>(Table1[[#This Row],[Quantity]]*Table1[[#This Row],[Unit Price]])*(1-Table1[[#This Row],[Discount]])</f>
        <v>24.48</v>
      </c>
      <c r="O390" s="21">
        <f>(Table1[[#This Row],[Unit Price]]-Table1[[#This Row],[Unit Cost]])*Table1[[#This Row],[Quantity]]</f>
        <v>9.09</v>
      </c>
      <c r="P390" s="9" t="str">
        <f t="shared" si="6"/>
        <v>Bulk</v>
      </c>
      <c r="Q390" s="9" t="str">
        <f>IF(Table1[[#This Row],[Discount]]&gt;=15%,"HIGH",IF(Table1[[#This Row],[Discount]]&gt;=55,"MEDIUM","NONE"))</f>
        <v>NONE</v>
      </c>
      <c r="R390" s="9">
        <f>Table1[[#This Row],[Ship Date]]-Table1[[#This Row],[Order Date]]</f>
        <v>6</v>
      </c>
      <c r="S390" s="9">
        <f>VLOOKUP(Table1[[#This Row],[Region]],Table2[],2,FALSE)</f>
        <v>120000</v>
      </c>
      <c r="T390" s="9">
        <f>INDEX(Table2[Quarterly Target],MATCH(Table1[[#This Row],[Region]],Table2[[Region ]],0))</f>
        <v>120000</v>
      </c>
      <c r="U390" s="9">
        <f>RANK(Table1[[#This Row],[Sales]],Table1[Sales])</f>
        <v>392</v>
      </c>
      <c r="V390" s="21">
        <f>SUM(N$2:N391)</f>
        <v>1197249.0140000002</v>
      </c>
    </row>
    <row r="391" spans="1:22" x14ac:dyDescent="0.25">
      <c r="A391" s="5" t="s">
        <v>886</v>
      </c>
      <c r="B391" s="6" t="s">
        <v>663</v>
      </c>
      <c r="C391" s="6" t="s">
        <v>306</v>
      </c>
      <c r="D391" s="7" t="s">
        <v>30</v>
      </c>
      <c r="E391" s="7" t="s">
        <v>206</v>
      </c>
      <c r="F391" s="7" t="s">
        <v>60</v>
      </c>
      <c r="G391" s="7" t="s">
        <v>82</v>
      </c>
      <c r="H391" s="7" t="s">
        <v>61</v>
      </c>
      <c r="I391" s="7" t="s">
        <v>169</v>
      </c>
      <c r="J391" s="7">
        <v>6</v>
      </c>
      <c r="K391" s="24">
        <v>24.71</v>
      </c>
      <c r="L391" s="8">
        <v>0</v>
      </c>
      <c r="M391" s="20">
        <v>14.36</v>
      </c>
      <c r="N391" s="21">
        <f>(Table1[[#This Row],[Quantity]]*Table1[[#This Row],[Unit Price]])*(1-Table1[[#This Row],[Discount]])</f>
        <v>148.26</v>
      </c>
      <c r="O391" s="21">
        <f>(Table1[[#This Row],[Unit Price]]-Table1[[#This Row],[Unit Cost]])*Table1[[#This Row],[Quantity]]</f>
        <v>62.100000000000009</v>
      </c>
      <c r="P391" s="9" t="str">
        <f t="shared" si="6"/>
        <v>Standard</v>
      </c>
      <c r="Q391" s="9" t="str">
        <f>IF(Table1[[#This Row],[Discount]]&gt;=15%,"HIGH",IF(Table1[[#This Row],[Discount]]&gt;=55,"MEDIUM","NONE"))</f>
        <v>NONE</v>
      </c>
      <c r="R391" s="9">
        <f>Table1[[#This Row],[Ship Date]]-Table1[[#This Row],[Order Date]]</f>
        <v>3</v>
      </c>
      <c r="S391" s="9">
        <f>VLOOKUP(Table1[[#This Row],[Region]],Table2[],2,FALSE)</f>
        <v>160000</v>
      </c>
      <c r="T391" s="9">
        <f>INDEX(Table2[Quarterly Target],MATCH(Table1[[#This Row],[Region]],Table2[[Region ]],0))</f>
        <v>160000</v>
      </c>
      <c r="U391" s="9">
        <f>RANK(Table1[[#This Row],[Sales]],Table1[Sales])</f>
        <v>334</v>
      </c>
      <c r="V391" s="21">
        <f>SUM(N$2:N392)</f>
        <v>1200461.8475000001</v>
      </c>
    </row>
    <row r="392" spans="1:22" x14ac:dyDescent="0.25">
      <c r="A392" s="5" t="s">
        <v>887</v>
      </c>
      <c r="B392" s="6" t="s">
        <v>634</v>
      </c>
      <c r="C392" s="6" t="s">
        <v>449</v>
      </c>
      <c r="D392" s="7" t="s">
        <v>16</v>
      </c>
      <c r="E392" s="7" t="s">
        <v>55</v>
      </c>
      <c r="F392" s="7" t="s">
        <v>25</v>
      </c>
      <c r="G392" s="7" t="s">
        <v>67</v>
      </c>
      <c r="H392" s="7" t="s">
        <v>20</v>
      </c>
      <c r="I392" s="7" t="s">
        <v>113</v>
      </c>
      <c r="J392" s="7">
        <v>3</v>
      </c>
      <c r="K392" s="24">
        <v>1127.31</v>
      </c>
      <c r="L392" s="8">
        <v>0.05</v>
      </c>
      <c r="M392" s="20">
        <v>774.58</v>
      </c>
      <c r="N392" s="21">
        <f>(Table1[[#This Row],[Quantity]]*Table1[[#This Row],[Unit Price]])*(1-Table1[[#This Row],[Discount]])</f>
        <v>3212.8334999999997</v>
      </c>
      <c r="O392" s="21">
        <f>(Table1[[#This Row],[Unit Price]]-Table1[[#This Row],[Unit Cost]])*Table1[[#This Row],[Quantity]]</f>
        <v>1058.1899999999996</v>
      </c>
      <c r="P392" s="9" t="str">
        <f t="shared" si="6"/>
        <v>Standard</v>
      </c>
      <c r="Q392" s="9" t="str">
        <f>IF(Table1[[#This Row],[Discount]]&gt;=15%,"HIGH",IF(Table1[[#This Row],[Discount]]&gt;=55,"MEDIUM","NONE"))</f>
        <v>NONE</v>
      </c>
      <c r="R392" s="9">
        <f>Table1[[#This Row],[Ship Date]]-Table1[[#This Row],[Order Date]]</f>
        <v>4</v>
      </c>
      <c r="S392" s="9">
        <f>VLOOKUP(Table1[[#This Row],[Region]],Table2[],2,FALSE)</f>
        <v>130000</v>
      </c>
      <c r="T392" s="9">
        <f>INDEX(Table2[Quarterly Target],MATCH(Table1[[#This Row],[Region]],Table2[[Region ]],0))</f>
        <v>130000</v>
      </c>
      <c r="U392" s="9">
        <f>RANK(Table1[[#This Row],[Sales]],Table1[Sales])</f>
        <v>120</v>
      </c>
      <c r="V392" s="21">
        <f>SUM(N$2:N393)</f>
        <v>1222832.3810000001</v>
      </c>
    </row>
    <row r="393" spans="1:22" x14ac:dyDescent="0.25">
      <c r="A393" s="5" t="s">
        <v>888</v>
      </c>
      <c r="B393" s="6" t="s">
        <v>889</v>
      </c>
      <c r="C393" s="6" t="s">
        <v>890</v>
      </c>
      <c r="D393" s="7" t="s">
        <v>16</v>
      </c>
      <c r="E393" s="7" t="s">
        <v>112</v>
      </c>
      <c r="F393" s="7" t="s">
        <v>18</v>
      </c>
      <c r="G393" s="7" t="s">
        <v>50</v>
      </c>
      <c r="H393" s="7" t="s">
        <v>20</v>
      </c>
      <c r="I393" s="7" t="s">
        <v>21</v>
      </c>
      <c r="J393" s="7">
        <v>21</v>
      </c>
      <c r="K393" s="24">
        <v>1121.33</v>
      </c>
      <c r="L393" s="8">
        <v>0.05</v>
      </c>
      <c r="M393" s="20">
        <v>703.46</v>
      </c>
      <c r="N393" s="21">
        <f>(Table1[[#This Row],[Quantity]]*Table1[[#This Row],[Unit Price]])*(1-Table1[[#This Row],[Discount]])</f>
        <v>22370.533499999998</v>
      </c>
      <c r="O393" s="21">
        <f>(Table1[[#This Row],[Unit Price]]-Table1[[#This Row],[Unit Cost]])*Table1[[#This Row],[Quantity]]</f>
        <v>8775.2699999999968</v>
      </c>
      <c r="P393" s="9" t="str">
        <f t="shared" si="6"/>
        <v>Standard</v>
      </c>
      <c r="Q393" s="9" t="str">
        <f>IF(Table1[[#This Row],[Discount]]&gt;=15%,"HIGH",IF(Table1[[#This Row],[Discount]]&gt;=55,"MEDIUM","NONE"))</f>
        <v>NONE</v>
      </c>
      <c r="R393" s="9">
        <f>Table1[[#This Row],[Ship Date]]-Table1[[#This Row],[Order Date]]</f>
        <v>5</v>
      </c>
      <c r="S393" s="9">
        <f>VLOOKUP(Table1[[#This Row],[Region]],Table2[],2,FALSE)</f>
        <v>140000</v>
      </c>
      <c r="T393" s="9">
        <f>INDEX(Table2[Quarterly Target],MATCH(Table1[[#This Row],[Region]],Table2[[Region ]],0))</f>
        <v>140000</v>
      </c>
      <c r="U393" s="9">
        <f>RANK(Table1[[#This Row],[Sales]],Table1[Sales])</f>
        <v>4</v>
      </c>
      <c r="V393" s="21">
        <f>SUM(N$2:N394)</f>
        <v>1229961.7010000001</v>
      </c>
    </row>
    <row r="394" spans="1:22" x14ac:dyDescent="0.25">
      <c r="A394" s="5" t="s">
        <v>891</v>
      </c>
      <c r="B394" s="6" t="s">
        <v>101</v>
      </c>
      <c r="C394" s="6" t="s">
        <v>102</v>
      </c>
      <c r="D394" s="7" t="s">
        <v>16</v>
      </c>
      <c r="E394" s="7" t="s">
        <v>78</v>
      </c>
      <c r="F394" s="7" t="s">
        <v>38</v>
      </c>
      <c r="G394" s="7" t="s">
        <v>26</v>
      </c>
      <c r="H394" s="7" t="s">
        <v>45</v>
      </c>
      <c r="I394" s="7" t="s">
        <v>68</v>
      </c>
      <c r="J394" s="7">
        <v>22</v>
      </c>
      <c r="K394" s="24">
        <v>324.06</v>
      </c>
      <c r="L394" s="8">
        <v>0</v>
      </c>
      <c r="M394" s="20">
        <v>248.25</v>
      </c>
      <c r="N394" s="21">
        <f>(Table1[[#This Row],[Quantity]]*Table1[[#This Row],[Unit Price]])*(1-Table1[[#This Row],[Discount]])</f>
        <v>7129.32</v>
      </c>
      <c r="O394" s="21">
        <f>(Table1[[#This Row],[Unit Price]]-Table1[[#This Row],[Unit Cost]])*Table1[[#This Row],[Quantity]]</f>
        <v>1667.8200000000002</v>
      </c>
      <c r="P394" s="9" t="str">
        <f t="shared" si="6"/>
        <v>Bulk</v>
      </c>
      <c r="Q394" s="9" t="str">
        <f>IF(Table1[[#This Row],[Discount]]&gt;=15%,"HIGH",IF(Table1[[#This Row],[Discount]]&gt;=55,"MEDIUM","NONE"))</f>
        <v>NONE</v>
      </c>
      <c r="R394" s="9">
        <f>Table1[[#This Row],[Ship Date]]-Table1[[#This Row],[Order Date]]</f>
        <v>7</v>
      </c>
      <c r="S394" s="9">
        <f>VLOOKUP(Table1[[#This Row],[Region]],Table2[],2,FALSE)</f>
        <v>120000</v>
      </c>
      <c r="T394" s="9">
        <f>INDEX(Table2[Quarterly Target],MATCH(Table1[[#This Row],[Region]],Table2[[Region ]],0))</f>
        <v>120000</v>
      </c>
      <c r="U394" s="9">
        <f>RANK(Table1[[#This Row],[Sales]],Table1[Sales])</f>
        <v>69</v>
      </c>
      <c r="V394" s="21">
        <f>SUM(N$2:N395)</f>
        <v>1231276.493</v>
      </c>
    </row>
    <row r="395" spans="1:22" x14ac:dyDescent="0.25">
      <c r="A395" s="5" t="s">
        <v>892</v>
      </c>
      <c r="B395" s="6" t="s">
        <v>155</v>
      </c>
      <c r="C395" s="6" t="s">
        <v>155</v>
      </c>
      <c r="D395" s="7" t="s">
        <v>24</v>
      </c>
      <c r="E395" s="7" t="s">
        <v>78</v>
      </c>
      <c r="F395" s="7" t="s">
        <v>38</v>
      </c>
      <c r="G395" s="7" t="s">
        <v>82</v>
      </c>
      <c r="H395" s="7" t="s">
        <v>61</v>
      </c>
      <c r="I395" s="7" t="s">
        <v>88</v>
      </c>
      <c r="J395" s="7">
        <v>24</v>
      </c>
      <c r="K395" s="24">
        <v>60.87</v>
      </c>
      <c r="L395" s="8">
        <v>0.1</v>
      </c>
      <c r="M395" s="20">
        <v>40.1</v>
      </c>
      <c r="N395" s="21">
        <f>(Table1[[#This Row],[Quantity]]*Table1[[#This Row],[Unit Price]])*(1-Table1[[#This Row],[Discount]])</f>
        <v>1314.7919999999999</v>
      </c>
      <c r="O395" s="21">
        <f>(Table1[[#This Row],[Unit Price]]-Table1[[#This Row],[Unit Cost]])*Table1[[#This Row],[Quantity]]</f>
        <v>498.4799999999999</v>
      </c>
      <c r="P395" s="9" t="str">
        <f t="shared" si="6"/>
        <v>Bulk</v>
      </c>
      <c r="Q395" s="9" t="str">
        <f>IF(Table1[[#This Row],[Discount]]&gt;=15%,"HIGH",IF(Table1[[#This Row],[Discount]]&gt;=55,"MEDIUM","NONE"))</f>
        <v>NONE</v>
      </c>
      <c r="R395" s="9">
        <f>Table1[[#This Row],[Ship Date]]-Table1[[#This Row],[Order Date]]</f>
        <v>0</v>
      </c>
      <c r="S395" s="9">
        <f>VLOOKUP(Table1[[#This Row],[Region]],Table2[],2,FALSE)</f>
        <v>120000</v>
      </c>
      <c r="T395" s="9">
        <f>INDEX(Table2[Quarterly Target],MATCH(Table1[[#This Row],[Region]],Table2[[Region ]],0))</f>
        <v>120000</v>
      </c>
      <c r="U395" s="9">
        <f>RANK(Table1[[#This Row],[Sales]],Table1[Sales])</f>
        <v>158</v>
      </c>
      <c r="V395" s="21">
        <f>SUM(N$2:N396)</f>
        <v>1232853.5630000001</v>
      </c>
    </row>
    <row r="396" spans="1:22" x14ac:dyDescent="0.25">
      <c r="A396" s="5" t="s">
        <v>893</v>
      </c>
      <c r="B396" s="6" t="s">
        <v>894</v>
      </c>
      <c r="C396" s="6" t="s">
        <v>895</v>
      </c>
      <c r="D396" s="7" t="s">
        <v>30</v>
      </c>
      <c r="E396" s="7" t="s">
        <v>214</v>
      </c>
      <c r="F396" s="7" t="s">
        <v>60</v>
      </c>
      <c r="G396" s="7" t="s">
        <v>32</v>
      </c>
      <c r="H396" s="7" t="s">
        <v>45</v>
      </c>
      <c r="I396" s="7" t="s">
        <v>46</v>
      </c>
      <c r="J396" s="7">
        <v>9</v>
      </c>
      <c r="K396" s="24">
        <v>175.23</v>
      </c>
      <c r="L396" s="8">
        <v>0</v>
      </c>
      <c r="M396" s="20">
        <v>96.38</v>
      </c>
      <c r="N396" s="21">
        <f>(Table1[[#This Row],[Quantity]]*Table1[[#This Row],[Unit Price]])*(1-Table1[[#This Row],[Discount]])</f>
        <v>1577.07</v>
      </c>
      <c r="O396" s="21">
        <f>(Table1[[#This Row],[Unit Price]]-Table1[[#This Row],[Unit Cost]])*Table1[[#This Row],[Quantity]]</f>
        <v>709.65</v>
      </c>
      <c r="P396" s="9" t="str">
        <f t="shared" si="6"/>
        <v>Bulk</v>
      </c>
      <c r="Q396" s="9" t="str">
        <f>IF(Table1[[#This Row],[Discount]]&gt;=15%,"HIGH",IF(Table1[[#This Row],[Discount]]&gt;=55,"MEDIUM","NONE"))</f>
        <v>NONE</v>
      </c>
      <c r="R396" s="9">
        <f>Table1[[#This Row],[Ship Date]]-Table1[[#This Row],[Order Date]]</f>
        <v>3</v>
      </c>
      <c r="S396" s="9">
        <f>VLOOKUP(Table1[[#This Row],[Region]],Table2[],2,FALSE)</f>
        <v>160000</v>
      </c>
      <c r="T396" s="9">
        <f>INDEX(Table2[Quarterly Target],MATCH(Table1[[#This Row],[Region]],Table2[[Region ]],0))</f>
        <v>160000</v>
      </c>
      <c r="U396" s="9">
        <f>RANK(Table1[[#This Row],[Sales]],Table1[Sales])</f>
        <v>145</v>
      </c>
      <c r="V396" s="21">
        <f>SUM(N$2:N397)</f>
        <v>1232910.5790000001</v>
      </c>
    </row>
    <row r="397" spans="1:22" x14ac:dyDescent="0.25">
      <c r="A397" s="5" t="s">
        <v>896</v>
      </c>
      <c r="B397" s="6" t="s">
        <v>897</v>
      </c>
      <c r="C397" s="6" t="s">
        <v>898</v>
      </c>
      <c r="D397" s="7" t="s">
        <v>30</v>
      </c>
      <c r="E397" s="7" t="s">
        <v>66</v>
      </c>
      <c r="F397" s="7" t="s">
        <v>43</v>
      </c>
      <c r="G397" s="7" t="s">
        <v>82</v>
      </c>
      <c r="H397" s="7" t="s">
        <v>61</v>
      </c>
      <c r="I397" s="7" t="s">
        <v>72</v>
      </c>
      <c r="J397" s="7">
        <v>1</v>
      </c>
      <c r="K397" s="24">
        <v>71.27</v>
      </c>
      <c r="L397" s="8">
        <v>0.2</v>
      </c>
      <c r="M397" s="20">
        <v>44.42</v>
      </c>
      <c r="N397" s="21">
        <f>(Table1[[#This Row],[Quantity]]*Table1[[#This Row],[Unit Price]])*(1-Table1[[#This Row],[Discount]])</f>
        <v>57.015999999999998</v>
      </c>
      <c r="O397" s="21">
        <f>(Table1[[#This Row],[Unit Price]]-Table1[[#This Row],[Unit Cost]])*Table1[[#This Row],[Quantity]]</f>
        <v>26.849999999999994</v>
      </c>
      <c r="P397" s="9" t="str">
        <f t="shared" si="6"/>
        <v>Standard</v>
      </c>
      <c r="Q397" s="9" t="str">
        <f>IF(Table1[[#This Row],[Discount]]&gt;=15%,"HIGH",IF(Table1[[#This Row],[Discount]]&gt;=55,"MEDIUM","NONE"))</f>
        <v>HIGH</v>
      </c>
      <c r="R397" s="9">
        <f>Table1[[#This Row],[Ship Date]]-Table1[[#This Row],[Order Date]]</f>
        <v>2</v>
      </c>
      <c r="S397" s="9">
        <f>VLOOKUP(Table1[[#This Row],[Region]],Table2[],2,FALSE)</f>
        <v>150000</v>
      </c>
      <c r="T397" s="9">
        <f>INDEX(Table2[Quarterly Target],MATCH(Table1[[#This Row],[Region]],Table2[[Region ]],0))</f>
        <v>150000</v>
      </c>
      <c r="U397" s="9">
        <f>RANK(Table1[[#This Row],[Sales]],Table1[Sales])</f>
        <v>376</v>
      </c>
      <c r="V397" s="21">
        <f>SUM(N$2:N398)</f>
        <v>1232966.3390000002</v>
      </c>
    </row>
    <row r="398" spans="1:22" x14ac:dyDescent="0.25">
      <c r="A398" s="5" t="s">
        <v>899</v>
      </c>
      <c r="B398" s="6" t="s">
        <v>155</v>
      </c>
      <c r="C398" s="6" t="s">
        <v>229</v>
      </c>
      <c r="D398" s="7" t="s">
        <v>30</v>
      </c>
      <c r="E398" s="7" t="s">
        <v>122</v>
      </c>
      <c r="F398" s="7" t="s">
        <v>60</v>
      </c>
      <c r="G398" s="7" t="s">
        <v>97</v>
      </c>
      <c r="H398" s="7" t="s">
        <v>33</v>
      </c>
      <c r="I398" s="7" t="s">
        <v>51</v>
      </c>
      <c r="J398" s="7">
        <v>8</v>
      </c>
      <c r="K398" s="24">
        <v>8.1999999999999993</v>
      </c>
      <c r="L398" s="8">
        <v>0.15</v>
      </c>
      <c r="M398" s="20">
        <v>5.83</v>
      </c>
      <c r="N398" s="21">
        <f>(Table1[[#This Row],[Quantity]]*Table1[[#This Row],[Unit Price]])*(1-Table1[[#This Row],[Discount]])</f>
        <v>55.759999999999991</v>
      </c>
      <c r="O398" s="21">
        <f>(Table1[[#This Row],[Unit Price]]-Table1[[#This Row],[Unit Cost]])*Table1[[#This Row],[Quantity]]</f>
        <v>18.959999999999994</v>
      </c>
      <c r="P398" s="9" t="str">
        <f t="shared" si="6"/>
        <v>Standard</v>
      </c>
      <c r="Q398" s="9" t="str">
        <f>IF(Table1[[#This Row],[Discount]]&gt;=15%,"HIGH",IF(Table1[[#This Row],[Discount]]&gt;=55,"MEDIUM","NONE"))</f>
        <v>HIGH</v>
      </c>
      <c r="R398" s="9">
        <f>Table1[[#This Row],[Ship Date]]-Table1[[#This Row],[Order Date]]</f>
        <v>2</v>
      </c>
      <c r="S398" s="9">
        <f>VLOOKUP(Table1[[#This Row],[Region]],Table2[],2,FALSE)</f>
        <v>160000</v>
      </c>
      <c r="T398" s="9">
        <f>INDEX(Table2[Quarterly Target],MATCH(Table1[[#This Row],[Region]],Table2[[Region ]],0))</f>
        <v>160000</v>
      </c>
      <c r="U398" s="9">
        <f>RANK(Table1[[#This Row],[Sales]],Table1[Sales])</f>
        <v>377</v>
      </c>
      <c r="V398" s="21">
        <f>SUM(N$2:N399)</f>
        <v>1248159.7550000001</v>
      </c>
    </row>
    <row r="399" spans="1:22" x14ac:dyDescent="0.25">
      <c r="A399" s="5" t="s">
        <v>900</v>
      </c>
      <c r="B399" s="6" t="s">
        <v>901</v>
      </c>
      <c r="C399" s="6" t="s">
        <v>85</v>
      </c>
      <c r="D399" s="7" t="s">
        <v>30</v>
      </c>
      <c r="E399" s="7" t="s">
        <v>71</v>
      </c>
      <c r="F399" s="7" t="s">
        <v>25</v>
      </c>
      <c r="G399" s="7" t="s">
        <v>44</v>
      </c>
      <c r="H399" s="7" t="s">
        <v>20</v>
      </c>
      <c r="I399" s="7" t="s">
        <v>139</v>
      </c>
      <c r="J399" s="7">
        <v>21</v>
      </c>
      <c r="K399" s="24">
        <v>904.37</v>
      </c>
      <c r="L399" s="8">
        <v>0.2</v>
      </c>
      <c r="M399" s="20">
        <v>558.17999999999995</v>
      </c>
      <c r="N399" s="21">
        <f>(Table1[[#This Row],[Quantity]]*Table1[[#This Row],[Unit Price]])*(1-Table1[[#This Row],[Discount]])</f>
        <v>15193.416000000001</v>
      </c>
      <c r="O399" s="21">
        <f>(Table1[[#This Row],[Unit Price]]-Table1[[#This Row],[Unit Cost]])*Table1[[#This Row],[Quantity]]</f>
        <v>7269.9900000000016</v>
      </c>
      <c r="P399" s="9" t="str">
        <f t="shared" si="6"/>
        <v>Standard</v>
      </c>
      <c r="Q399" s="9" t="str">
        <f>IF(Table1[[#This Row],[Discount]]&gt;=15%,"HIGH",IF(Table1[[#This Row],[Discount]]&gt;=55,"MEDIUM","NONE"))</f>
        <v>HIGH</v>
      </c>
      <c r="R399" s="9">
        <f>Table1[[#This Row],[Ship Date]]-Table1[[#This Row],[Order Date]]</f>
        <v>2</v>
      </c>
      <c r="S399" s="9">
        <f>VLOOKUP(Table1[[#This Row],[Region]],Table2[],2,FALSE)</f>
        <v>130000</v>
      </c>
      <c r="T399" s="9">
        <f>INDEX(Table2[Quarterly Target],MATCH(Table1[[#This Row],[Region]],Table2[[Region ]],0))</f>
        <v>130000</v>
      </c>
      <c r="U399" s="9">
        <f>RANK(Table1[[#This Row],[Sales]],Table1[Sales])</f>
        <v>16</v>
      </c>
      <c r="V399" s="21">
        <f>SUM(N$2:N400)</f>
        <v>1260139.0750000002</v>
      </c>
    </row>
    <row r="400" spans="1:22" x14ac:dyDescent="0.25">
      <c r="A400" s="5" t="s">
        <v>902</v>
      </c>
      <c r="B400" s="6" t="s">
        <v>670</v>
      </c>
      <c r="C400" s="6" t="s">
        <v>237</v>
      </c>
      <c r="D400" s="7" t="s">
        <v>30</v>
      </c>
      <c r="E400" s="7" t="s">
        <v>75</v>
      </c>
      <c r="F400" s="7" t="s">
        <v>43</v>
      </c>
      <c r="G400" s="7" t="s">
        <v>82</v>
      </c>
      <c r="H400" s="7" t="s">
        <v>45</v>
      </c>
      <c r="I400" s="7" t="s">
        <v>148</v>
      </c>
      <c r="J400" s="7">
        <v>23</v>
      </c>
      <c r="K400" s="24">
        <v>520.84</v>
      </c>
      <c r="L400" s="8">
        <v>0</v>
      </c>
      <c r="M400" s="20">
        <v>328.21</v>
      </c>
      <c r="N400" s="21">
        <f>(Table1[[#This Row],[Quantity]]*Table1[[#This Row],[Unit Price]])*(1-Table1[[#This Row],[Discount]])</f>
        <v>11979.320000000002</v>
      </c>
      <c r="O400" s="21">
        <f>(Table1[[#This Row],[Unit Price]]-Table1[[#This Row],[Unit Cost]])*Table1[[#This Row],[Quantity]]</f>
        <v>4430.4900000000016</v>
      </c>
      <c r="P400" s="9" t="str">
        <f t="shared" si="6"/>
        <v>Bulk</v>
      </c>
      <c r="Q400" s="9" t="str">
        <f>IF(Table1[[#This Row],[Discount]]&gt;=15%,"HIGH",IF(Table1[[#This Row],[Discount]]&gt;=55,"MEDIUM","NONE"))</f>
        <v>NONE</v>
      </c>
      <c r="R400" s="9">
        <f>Table1[[#This Row],[Ship Date]]-Table1[[#This Row],[Order Date]]</f>
        <v>2</v>
      </c>
      <c r="S400" s="9">
        <f>VLOOKUP(Table1[[#This Row],[Region]],Table2[],2,FALSE)</f>
        <v>150000</v>
      </c>
      <c r="T400" s="9">
        <f>INDEX(Table2[Quarterly Target],MATCH(Table1[[#This Row],[Region]],Table2[[Region ]],0))</f>
        <v>150000</v>
      </c>
      <c r="U400" s="9">
        <f>RANK(Table1[[#This Row],[Sales]],Table1[Sales])</f>
        <v>33</v>
      </c>
      <c r="V400" s="21">
        <f>SUM(N$2:N401)</f>
        <v>1272885.2150000001</v>
      </c>
    </row>
    <row r="401" spans="1:22" x14ac:dyDescent="0.25">
      <c r="A401" s="10" t="s">
        <v>903</v>
      </c>
      <c r="B401" s="11" t="s">
        <v>514</v>
      </c>
      <c r="C401" s="11" t="s">
        <v>659</v>
      </c>
      <c r="D401" s="12" t="s">
        <v>16</v>
      </c>
      <c r="E401" s="12" t="s">
        <v>214</v>
      </c>
      <c r="F401" s="12" t="s">
        <v>43</v>
      </c>
      <c r="G401" s="12" t="s">
        <v>44</v>
      </c>
      <c r="H401" s="12" t="s">
        <v>20</v>
      </c>
      <c r="I401" s="12" t="s">
        <v>113</v>
      </c>
      <c r="J401" s="12">
        <v>23</v>
      </c>
      <c r="K401" s="25">
        <v>554.17999999999995</v>
      </c>
      <c r="L401" s="13">
        <v>0</v>
      </c>
      <c r="M401" s="22">
        <v>337.05</v>
      </c>
      <c r="N401" s="21">
        <f>(Table1[[#This Row],[Quantity]]*Table1[[#This Row],[Unit Price]])*(1-Table1[[#This Row],[Discount]])</f>
        <v>12746.14</v>
      </c>
      <c r="O401" s="21">
        <f>(Table1[[#This Row],[Unit Price]]-Table1[[#This Row],[Unit Cost]])*Table1[[#This Row],[Quantity]]</f>
        <v>4993.9899999999989</v>
      </c>
      <c r="P401" s="9" t="str">
        <f t="shared" si="6"/>
        <v>Bulk</v>
      </c>
      <c r="Q401" s="9" t="str">
        <f>IF(Table1[[#This Row],[Discount]]&gt;=15%,"HIGH",IF(Table1[[#This Row],[Discount]]&gt;=55,"MEDIUM","NONE"))</f>
        <v>NONE</v>
      </c>
      <c r="R401" s="9">
        <f>Table1[[#This Row],[Ship Date]]-Table1[[#This Row],[Order Date]]</f>
        <v>5</v>
      </c>
      <c r="S401" s="9">
        <f>VLOOKUP(Table1[[#This Row],[Region]],Table2[],2,FALSE)</f>
        <v>150000</v>
      </c>
      <c r="T401" s="9">
        <f>INDEX(Table2[Quarterly Target],MATCH(Table1[[#This Row],[Region]],Table2[[Region ]],0))</f>
        <v>150000</v>
      </c>
      <c r="U401" s="9">
        <f>RANK(Table1[[#This Row],[Sales]],Table1[Sales])</f>
        <v>29</v>
      </c>
      <c r="V401" s="21">
        <f>SUM(N$2:N402)</f>
        <v>1272885.2150000001</v>
      </c>
    </row>
  </sheetData>
  <conditionalFormatting sqref="J378:J401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L37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8:L4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0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58F9F42-E423-40B9-BDA6-518507714AD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J378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F74C-4841-4FD0-8178-BDF086B71240}">
  <dimension ref="A1:B6"/>
  <sheetViews>
    <sheetView workbookViewId="0">
      <selection activeCell="B1" sqref="A1:B6"/>
    </sheetView>
  </sheetViews>
  <sheetFormatPr defaultRowHeight="15" x14ac:dyDescent="0.25"/>
  <cols>
    <col min="1" max="1" width="9.7109375" customWidth="1"/>
    <col min="2" max="2" width="17.5703125" customWidth="1"/>
  </cols>
  <sheetData>
    <row r="1" spans="1:2" x14ac:dyDescent="0.25">
      <c r="A1" t="s">
        <v>916</v>
      </c>
      <c r="B1" t="s">
        <v>917</v>
      </c>
    </row>
    <row r="2" spans="1:2" x14ac:dyDescent="0.25">
      <c r="A2" t="s">
        <v>43</v>
      </c>
      <c r="B2">
        <v>150000</v>
      </c>
    </row>
    <row r="3" spans="1:2" x14ac:dyDescent="0.25">
      <c r="A3" t="s">
        <v>25</v>
      </c>
      <c r="B3">
        <v>130000</v>
      </c>
    </row>
    <row r="4" spans="1:2" x14ac:dyDescent="0.25">
      <c r="A4" t="s">
        <v>18</v>
      </c>
      <c r="B4">
        <v>140000</v>
      </c>
    </row>
    <row r="5" spans="1:2" x14ac:dyDescent="0.25">
      <c r="A5" t="s">
        <v>60</v>
      </c>
      <c r="B5">
        <v>160000</v>
      </c>
    </row>
    <row r="6" spans="1:2" x14ac:dyDescent="0.25">
      <c r="A6" t="s">
        <v>38</v>
      </c>
      <c r="B6">
        <v>120000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F500-EB9A-4CCB-8678-E37F1168D26F}">
  <dimension ref="A1:H2"/>
  <sheetViews>
    <sheetView workbookViewId="0">
      <selection activeCell="A2" sqref="A2:XFD2"/>
    </sheetView>
  </sheetViews>
  <sheetFormatPr defaultRowHeight="15" x14ac:dyDescent="0.25"/>
  <cols>
    <col min="1" max="1" width="19.5703125" bestFit="1" customWidth="1"/>
    <col min="2" max="2" width="20.140625" bestFit="1" customWidth="1"/>
    <col min="3" max="3" width="16" bestFit="1" customWidth="1"/>
    <col min="4" max="4" width="16.5703125" bestFit="1" customWidth="1"/>
    <col min="5" max="5" width="15.7109375" bestFit="1" customWidth="1"/>
    <col min="6" max="6" width="16.28515625" bestFit="1" customWidth="1"/>
    <col min="8" max="8" width="13.42578125" bestFit="1" customWidth="1"/>
  </cols>
  <sheetData>
    <row r="1" spans="1:8" x14ac:dyDescent="0.25">
      <c r="A1" t="s">
        <v>909</v>
      </c>
      <c r="B1" t="s">
        <v>910</v>
      </c>
      <c r="C1" t="s">
        <v>911</v>
      </c>
      <c r="D1" t="s">
        <v>913</v>
      </c>
      <c r="E1" t="s">
        <v>912</v>
      </c>
      <c r="F1" t="s">
        <v>914</v>
      </c>
      <c r="G1" t="s">
        <v>919</v>
      </c>
      <c r="H1" t="s">
        <v>921</v>
      </c>
    </row>
    <row r="2" spans="1:8" x14ac:dyDescent="0.25">
      <c r="A2">
        <f>AVERAGE(Table1[Quantity])</f>
        <v>12.9725</v>
      </c>
      <c r="B2">
        <f>AVERAGE(Table1[[#This Row],[Unit Price]])</f>
        <v>167.87</v>
      </c>
      <c r="C2">
        <f>MAX(Table1[Quantity])</f>
        <v>25</v>
      </c>
      <c r="D2">
        <f>MAX(Sales_Data!M:M)</f>
        <v>954.68</v>
      </c>
      <c r="E2">
        <f>MIN(Sales_Data!N373:N394)</f>
        <v>17.649999999999999</v>
      </c>
      <c r="F2">
        <f>MIN(Sales_Data!O373:O394)</f>
        <v>4.1199999999999992</v>
      </c>
      <c r="G2" cm="1">
        <f t="array" ref="G2">SUMPRODUCT((Sales_Data!J2:J401&gt;10)*(Sales_Data!F2:F401="East")*Sales_Data!N2:N401)</f>
        <v>256472.38099999996</v>
      </c>
      <c r="H2" s="14">
        <f>SUM(Table1[Sales])</f>
        <v>1272885.2150000001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Sheet9</vt:lpstr>
      <vt:lpstr>pivot</vt:lpstr>
      <vt:lpstr>Sales_Data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S0361167</cp:lastModifiedBy>
  <cp:revision>0</cp:revision>
  <dcterms:created xsi:type="dcterms:W3CDTF">2026-07-18T10:09:07Z</dcterms:created>
  <dcterms:modified xsi:type="dcterms:W3CDTF">2026-07-19T13:44:12Z</dcterms:modified>
  <dc:language>en-US</dc:language>
</cp:coreProperties>
</file>