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DC6B9C99-7E7E-4FC6-A01E-FC0CDC4D9A27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Sales_Data" sheetId="1" r:id="rId1"/>
    <sheet name="Sheet1" sheetId="6" r:id="rId2"/>
    <sheet name="Sheet2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6" l="1"/>
  <c r="A9" i="6"/>
  <c r="B5" i="6"/>
  <c r="A5" i="6"/>
  <c r="B2" i="6"/>
  <c r="A2" i="6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O38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</calcChain>
</file>

<file path=xl/sharedStrings.xml><?xml version="1.0" encoding="utf-8"?>
<sst xmlns="http://schemas.openxmlformats.org/spreadsheetml/2006/main" count="3626" uniqueCount="917">
  <si>
    <t>Order ID</t>
  </si>
  <si>
    <t>Order Date</t>
  </si>
  <si>
    <t>Ship Date</t>
  </si>
  <si>
    <t>Ship Mode</t>
  </si>
  <si>
    <t>Customer</t>
  </si>
  <si>
    <t>Region</t>
  </si>
  <si>
    <t>Sales Rep</t>
  </si>
  <si>
    <t>Category</t>
  </si>
  <si>
    <t>Product</t>
  </si>
  <si>
    <t>Quantity</t>
  </si>
  <si>
    <t>Unit Price</t>
  </si>
  <si>
    <t>Discount</t>
  </si>
  <si>
    <t>Unit Cost</t>
  </si>
  <si>
    <t>ORD-1001</t>
  </si>
  <si>
    <t>2025-10-16</t>
  </si>
  <si>
    <t>2025-10-20</t>
  </si>
  <si>
    <t>Standard</t>
  </si>
  <si>
    <t>Iota Distributors</t>
  </si>
  <si>
    <t>East</t>
  </si>
  <si>
    <t>R. Brown</t>
  </si>
  <si>
    <t>Electronics</t>
  </si>
  <si>
    <t>Laptop</t>
  </si>
  <si>
    <t>ORD-1002</t>
  </si>
  <si>
    <t>2024-02-02</t>
  </si>
  <si>
    <t>Same Day</t>
  </si>
  <si>
    <t>South</t>
  </si>
  <si>
    <t>J. Smith</t>
  </si>
  <si>
    <t>ORD-1003</t>
  </si>
  <si>
    <t>2025-08-26</t>
  </si>
  <si>
    <t>2025-08-29</t>
  </si>
  <si>
    <t>Express</t>
  </si>
  <si>
    <t>Omicron Trading</t>
  </si>
  <si>
    <t>S. Miller</t>
  </si>
  <si>
    <t>Office Supplies</t>
  </si>
  <si>
    <t>Notebook</t>
  </si>
  <si>
    <t>ORD-1004</t>
  </si>
  <si>
    <t>2024-04-09</t>
  </si>
  <si>
    <t>Kappa Wholesale</t>
  </si>
  <si>
    <t>Central</t>
  </si>
  <si>
    <t>Printer Paper</t>
  </si>
  <si>
    <t>ORD-1005</t>
  </si>
  <si>
    <t>2025-08-14</t>
  </si>
  <si>
    <t>2025-08-20</t>
  </si>
  <si>
    <t>North</t>
  </si>
  <si>
    <t>K. Davis</t>
  </si>
  <si>
    <t>Furniture</t>
  </si>
  <si>
    <t>Office Chair</t>
  </si>
  <si>
    <t>ORD-1006</t>
  </si>
  <si>
    <t>2025-01-14</t>
  </si>
  <si>
    <t>Gamma Supplies</t>
  </si>
  <si>
    <t>A. Williams</t>
  </si>
  <si>
    <t>Stapler</t>
  </si>
  <si>
    <t>ORD-1007</t>
  </si>
  <si>
    <t>2024-02-27</t>
  </si>
  <si>
    <t>2024-03-04</t>
  </si>
  <si>
    <t>Xi Solutions</t>
  </si>
  <si>
    <t>ORD-1008</t>
  </si>
  <si>
    <t>2025-11-02</t>
  </si>
  <si>
    <t>2025-11-09</t>
  </si>
  <si>
    <t>Epsilon Ltd</t>
  </si>
  <si>
    <t>West</t>
  </si>
  <si>
    <t>Clothing</t>
  </si>
  <si>
    <t>Sneakers</t>
  </si>
  <si>
    <t>ORD-1009</t>
  </si>
  <si>
    <t>2025-01-05</t>
  </si>
  <si>
    <t>2025-01-12</t>
  </si>
  <si>
    <t>Rho Retailers</t>
  </si>
  <si>
    <t>M. Johnson</t>
  </si>
  <si>
    <t>Desk</t>
  </si>
  <si>
    <t>ORD-1010</t>
  </si>
  <si>
    <t>2025-01-29</t>
  </si>
  <si>
    <t>Sigma Stores</t>
  </si>
  <si>
    <t>Cap</t>
  </si>
  <si>
    <t>ORD-1011</t>
  </si>
  <si>
    <t>2024-04-24</t>
  </si>
  <si>
    <t>Pi Partners</t>
  </si>
  <si>
    <t>Pen Set</t>
  </si>
  <si>
    <t>ORD-1012</t>
  </si>
  <si>
    <t>Zeta Enterprises</t>
  </si>
  <si>
    <t>ORD-1013</t>
  </si>
  <si>
    <t>2024-02-29</t>
  </si>
  <si>
    <t>2024-03-07</t>
  </si>
  <si>
    <t>L. Moore</t>
  </si>
  <si>
    <t>Sofa</t>
  </si>
  <si>
    <t>ORD-1014</t>
  </si>
  <si>
    <t>2024-09-28</t>
  </si>
  <si>
    <t>2024-09-30</t>
  </si>
  <si>
    <t>Theta Group</t>
  </si>
  <si>
    <t>Jacket</t>
  </si>
  <si>
    <t>ORD-1015</t>
  </si>
  <si>
    <t>2024-09-10</t>
  </si>
  <si>
    <t>Alpha Traders</t>
  </si>
  <si>
    <t>ORD-1016</t>
  </si>
  <si>
    <t>ORD-1017</t>
  </si>
  <si>
    <t>2025-04-29</t>
  </si>
  <si>
    <t>2025-05-01</t>
  </si>
  <si>
    <t>Delta Corp</t>
  </si>
  <si>
    <t>T. Wilson</t>
  </si>
  <si>
    <t>ORD-1018</t>
  </si>
  <si>
    <t>2025-02-16</t>
  </si>
  <si>
    <t>ORD-1019</t>
  </si>
  <si>
    <t>2025-03-29</t>
  </si>
  <si>
    <t>2025-04-05</t>
  </si>
  <si>
    <t>ORD-1020</t>
  </si>
  <si>
    <t>2024-06-17</t>
  </si>
  <si>
    <t>2024-06-19</t>
  </si>
  <si>
    <t>T-Shirt</t>
  </si>
  <si>
    <t>ORD-1021</t>
  </si>
  <si>
    <t>2024-07-13</t>
  </si>
  <si>
    <t>Upsilon United</t>
  </si>
  <si>
    <t>ORD-1022</t>
  </si>
  <si>
    <t>2025-06-04</t>
  </si>
  <si>
    <t>Omega Outlets</t>
  </si>
  <si>
    <t>Smartphone</t>
  </si>
  <si>
    <t>ORD-1023</t>
  </si>
  <si>
    <t>2025-03-05</t>
  </si>
  <si>
    <t>2025-03-07</t>
  </si>
  <si>
    <t>Mu Merchants</t>
  </si>
  <si>
    <t>ORD-1024</t>
  </si>
  <si>
    <t>2024-01-10</t>
  </si>
  <si>
    <t>ORD-1025</t>
  </si>
  <si>
    <t>2025-01-13</t>
  </si>
  <si>
    <t>Tau Traders</t>
  </si>
  <si>
    <t>ORD-1026</t>
  </si>
  <si>
    <t>2024-05-17</t>
  </si>
  <si>
    <t>2024-05-20</t>
  </si>
  <si>
    <t>ORD-1027</t>
  </si>
  <si>
    <t>2024-09-14</t>
  </si>
  <si>
    <t>2024-09-19</t>
  </si>
  <si>
    <t>ORD-1028</t>
  </si>
  <si>
    <t>2025-07-18</t>
  </si>
  <si>
    <t>ORD-1029</t>
  </si>
  <si>
    <t>2024-05-10</t>
  </si>
  <si>
    <t>Beta Retail Co</t>
  </si>
  <si>
    <t>Headphones</t>
  </si>
  <si>
    <t>ORD-1030</t>
  </si>
  <si>
    <t>2024-08-30</t>
  </si>
  <si>
    <t>ORD-1031</t>
  </si>
  <si>
    <t>2024-06-12</t>
  </si>
  <si>
    <t>Monitor</t>
  </si>
  <si>
    <t>ORD-1032</t>
  </si>
  <si>
    <t>2024-01-25</t>
  </si>
  <si>
    <t>2024-01-27</t>
  </si>
  <si>
    <t>Filing Cabinet</t>
  </si>
  <si>
    <t>ORD-1033</t>
  </si>
  <si>
    <t>2024-04-28</t>
  </si>
  <si>
    <t>2024-05-05</t>
  </si>
  <si>
    <t>ORD-1034</t>
  </si>
  <si>
    <t>Bookshelf</t>
  </si>
  <si>
    <t>ORD-1035</t>
  </si>
  <si>
    <t>2025-03-17</t>
  </si>
  <si>
    <t>Keyboard</t>
  </si>
  <si>
    <t>ORD-1036</t>
  </si>
  <si>
    <t>Binder</t>
  </si>
  <si>
    <t>ORD-1037</t>
  </si>
  <si>
    <t>2025-07-15</t>
  </si>
  <si>
    <t>ORD-1038</t>
  </si>
  <si>
    <t>2024-06-22</t>
  </si>
  <si>
    <t>2024-06-27</t>
  </si>
  <si>
    <t>ORD-1039</t>
  </si>
  <si>
    <t>2024-01-26</t>
  </si>
  <si>
    <t>2024-01-29</t>
  </si>
  <si>
    <t>ORD-1040</t>
  </si>
  <si>
    <t>2025-02-13</t>
  </si>
  <si>
    <t>2025-02-17</t>
  </si>
  <si>
    <t>ORD-1041</t>
  </si>
  <si>
    <t>2024-05-04</t>
  </si>
  <si>
    <t>2024-05-06</t>
  </si>
  <si>
    <t>ORD-1042</t>
  </si>
  <si>
    <t>Jeans</t>
  </si>
  <si>
    <t>ORD-1043</t>
  </si>
  <si>
    <t>2024-12-09</t>
  </si>
  <si>
    <t>2024-12-16</t>
  </si>
  <si>
    <t>ORD-1044</t>
  </si>
  <si>
    <t>2024-12-04</t>
  </si>
  <si>
    <t>2024-12-07</t>
  </si>
  <si>
    <t>ORD-1045</t>
  </si>
  <si>
    <t>2024-01-07</t>
  </si>
  <si>
    <t>ORD-1046</t>
  </si>
  <si>
    <t>2024-06-18</t>
  </si>
  <si>
    <t>2024-06-20</t>
  </si>
  <si>
    <t>ORD-1047</t>
  </si>
  <si>
    <t>2025-04-17</t>
  </si>
  <si>
    <t>2025-04-23</t>
  </si>
  <si>
    <t>ORD-1048</t>
  </si>
  <si>
    <t>2024-09-15</t>
  </si>
  <si>
    <t>2024-09-17</t>
  </si>
  <si>
    <t>ORD-1049</t>
  </si>
  <si>
    <t>ORD-1050</t>
  </si>
  <si>
    <t>2025-01-15</t>
  </si>
  <si>
    <t>ORD-1051</t>
  </si>
  <si>
    <t>2024-07-22</t>
  </si>
  <si>
    <t>Tablet</t>
  </si>
  <si>
    <t>ORD-1052</t>
  </si>
  <si>
    <t>2025-06-29</t>
  </si>
  <si>
    <t>2025-07-05</t>
  </si>
  <si>
    <t>ORD-1053</t>
  </si>
  <si>
    <t>2025-12-25</t>
  </si>
  <si>
    <t>ORD-1054</t>
  </si>
  <si>
    <t>2024-09-08</t>
  </si>
  <si>
    <t>ORD-1055</t>
  </si>
  <si>
    <t>2025-05-14</t>
  </si>
  <si>
    <t>ORD-1056</t>
  </si>
  <si>
    <t>2024-09-04</t>
  </si>
  <si>
    <t>ORD-1057</t>
  </si>
  <si>
    <t>2025-02-18</t>
  </si>
  <si>
    <t>Nu Networks</t>
  </si>
  <si>
    <t>ORD-1058</t>
  </si>
  <si>
    <t>2024-10-04</t>
  </si>
  <si>
    <t>2024-10-06</t>
  </si>
  <si>
    <t>ORD-1059</t>
  </si>
  <si>
    <t>2025-05-10</t>
  </si>
  <si>
    <t>ORD-1060</t>
  </si>
  <si>
    <t>2024-10-07</t>
  </si>
  <si>
    <t>Lambda Inc</t>
  </si>
  <si>
    <t>ORD-1061</t>
  </si>
  <si>
    <t>2025-05-05</t>
  </si>
  <si>
    <t>2025-05-07</t>
  </si>
  <si>
    <t>ORD-1062</t>
  </si>
  <si>
    <t>2024-06-01</t>
  </si>
  <si>
    <t>ORD-1063</t>
  </si>
  <si>
    <t>ORD-1064</t>
  </si>
  <si>
    <t>2025-11-07</t>
  </si>
  <si>
    <t>2025-11-13</t>
  </si>
  <si>
    <t>ORD-1065</t>
  </si>
  <si>
    <t>2024-08-25</t>
  </si>
  <si>
    <t>2024-08-27</t>
  </si>
  <si>
    <t>ORD-1066</t>
  </si>
  <si>
    <t>2025-07-11</t>
  </si>
  <si>
    <t>2025-07-17</t>
  </si>
  <si>
    <t>ORD-1067</t>
  </si>
  <si>
    <t>2024-05-07</t>
  </si>
  <si>
    <t>2024-05-09</t>
  </si>
  <si>
    <t>ORD-1068</t>
  </si>
  <si>
    <t>2024-04-03</t>
  </si>
  <si>
    <t>ORD-1069</t>
  </si>
  <si>
    <t>2024-07-04</t>
  </si>
  <si>
    <t>2024-07-07</t>
  </si>
  <si>
    <t>ORD-1070</t>
  </si>
  <si>
    <t>2025-12-11</t>
  </si>
  <si>
    <t>2025-12-13</t>
  </si>
  <si>
    <t>ORD-1071</t>
  </si>
  <si>
    <t>2025-11-04</t>
  </si>
  <si>
    <t>ORD-1072</t>
  </si>
  <si>
    <t>2025-07-16</t>
  </si>
  <si>
    <t>2025-07-22</t>
  </si>
  <si>
    <t>ORD-1073</t>
  </si>
  <si>
    <t>2025-07-19</t>
  </si>
  <si>
    <t>2025-07-25</t>
  </si>
  <si>
    <t>ORD-1074</t>
  </si>
  <si>
    <t>2025-03-01</t>
  </si>
  <si>
    <t>2025-03-03</t>
  </si>
  <si>
    <t>ORD-1075</t>
  </si>
  <si>
    <t>2024-10-09</t>
  </si>
  <si>
    <t>2024-10-11</t>
  </si>
  <si>
    <t>ORD-1076</t>
  </si>
  <si>
    <t>2025-04-02</t>
  </si>
  <si>
    <t>2025-04-04</t>
  </si>
  <si>
    <t>ORD-1077</t>
  </si>
  <si>
    <t>2025-02-24</t>
  </si>
  <si>
    <t>ORD-1078</t>
  </si>
  <si>
    <t>2024-04-12</t>
  </si>
  <si>
    <t>ORD-1079</t>
  </si>
  <si>
    <t>ORD-1080</t>
  </si>
  <si>
    <t>2025-09-24</t>
  </si>
  <si>
    <t>2025-09-26</t>
  </si>
  <si>
    <t>ORD-1081</t>
  </si>
  <si>
    <t>ORD-1082</t>
  </si>
  <si>
    <t>2024-06-23</t>
  </si>
  <si>
    <t>2024-06-26</t>
  </si>
  <si>
    <t>ORD-1083</t>
  </si>
  <si>
    <t>2025-11-20</t>
  </si>
  <si>
    <t>ORD-1084</t>
  </si>
  <si>
    <t>2025-04-12</t>
  </si>
  <si>
    <t>2025-04-18</t>
  </si>
  <si>
    <t>ORD-1085</t>
  </si>
  <si>
    <t>2025-11-05</t>
  </si>
  <si>
    <t>ORD-1086</t>
  </si>
  <si>
    <t>2024-08-12</t>
  </si>
  <si>
    <t>ORD-1087</t>
  </si>
  <si>
    <t>2024-04-02</t>
  </si>
  <si>
    <t>2024-04-08</t>
  </si>
  <si>
    <t>ORD-1088</t>
  </si>
  <si>
    <t>2024-09-20</t>
  </si>
  <si>
    <t>2024-09-27</t>
  </si>
  <si>
    <t>ORD-1089</t>
  </si>
  <si>
    <t>2024-04-05</t>
  </si>
  <si>
    <t>ORD-1090</t>
  </si>
  <si>
    <t>2024-04-20</t>
  </si>
  <si>
    <t>ORD-1091</t>
  </si>
  <si>
    <t>2024-04-29</t>
  </si>
  <si>
    <t>ORD-1092</t>
  </si>
  <si>
    <t>2025-11-17</t>
  </si>
  <si>
    <t>2025-11-19</t>
  </si>
  <si>
    <t>ORD-1093</t>
  </si>
  <si>
    <t>2025-03-30</t>
  </si>
  <si>
    <t>ORD-1094</t>
  </si>
  <si>
    <t>ORD-1095</t>
  </si>
  <si>
    <t>2024-08-26</t>
  </si>
  <si>
    <t>ORD-1096</t>
  </si>
  <si>
    <t>2024-01-16</t>
  </si>
  <si>
    <t>2024-01-20</t>
  </si>
  <si>
    <t>ORD-1097</t>
  </si>
  <si>
    <t>2025-05-02</t>
  </si>
  <si>
    <t>ORD-1098</t>
  </si>
  <si>
    <t>ORD-1099</t>
  </si>
  <si>
    <t>2025-09-14</t>
  </si>
  <si>
    <t>2025-09-16</t>
  </si>
  <si>
    <t>ORD-1100</t>
  </si>
  <si>
    <t>2025-12-19</t>
  </si>
  <si>
    <t>2025-12-21</t>
  </si>
  <si>
    <t>ORD-1101</t>
  </si>
  <si>
    <t>2024-11-16</t>
  </si>
  <si>
    <t>ORD-1102</t>
  </si>
  <si>
    <t>2025-01-16</t>
  </si>
  <si>
    <t>ORD-1103</t>
  </si>
  <si>
    <t>2024-10-21</t>
  </si>
  <si>
    <t>2024-10-27</t>
  </si>
  <si>
    <t>ORD-1104</t>
  </si>
  <si>
    <t>2024-10-12</t>
  </si>
  <si>
    <t>ORD-1105</t>
  </si>
  <si>
    <t>2024-12-13</t>
  </si>
  <si>
    <t>2024-12-18</t>
  </si>
  <si>
    <t>ORD-1106</t>
  </si>
  <si>
    <t>ORD-1107</t>
  </si>
  <si>
    <t>2024-06-10</t>
  </si>
  <si>
    <t>ORD-1108</t>
  </si>
  <si>
    <t>2024-12-19</t>
  </si>
  <si>
    <t>ORD-1109</t>
  </si>
  <si>
    <t>2024-07-28</t>
  </si>
  <si>
    <t>2024-07-31</t>
  </si>
  <si>
    <t>ORD-1110</t>
  </si>
  <si>
    <t>2025-07-02</t>
  </si>
  <si>
    <t>ORD-1111</t>
  </si>
  <si>
    <t>2025-08-12</t>
  </si>
  <si>
    <t>2025-08-19</t>
  </si>
  <si>
    <t>ORD-1112</t>
  </si>
  <si>
    <t>2024-03-31</t>
  </si>
  <si>
    <t>ORD-1113</t>
  </si>
  <si>
    <t>2024-06-21</t>
  </si>
  <si>
    <t>ORD-1114</t>
  </si>
  <si>
    <t>2024-04-15</t>
  </si>
  <si>
    <t>ORD-1115</t>
  </si>
  <si>
    <t>2025-11-28</t>
  </si>
  <si>
    <t>2025-12-01</t>
  </si>
  <si>
    <t>ORD-1116</t>
  </si>
  <si>
    <t>2025-06-03</t>
  </si>
  <si>
    <t>2025-06-07</t>
  </si>
  <si>
    <t>ORD-1117</t>
  </si>
  <si>
    <t>ORD-1118</t>
  </si>
  <si>
    <t>2025-05-31</t>
  </si>
  <si>
    <t>ORD-1119</t>
  </si>
  <si>
    <t>2025-02-22</t>
  </si>
  <si>
    <t>2025-02-25</t>
  </si>
  <si>
    <t>ORD-1120</t>
  </si>
  <si>
    <t>2024-03-24</t>
  </si>
  <si>
    <t>ORD-1121</t>
  </si>
  <si>
    <t>2025-11-24</t>
  </si>
  <si>
    <t>ORD-1122</t>
  </si>
  <si>
    <t>2024-08-19</t>
  </si>
  <si>
    <t>ORD-1123</t>
  </si>
  <si>
    <t>2025-10-01</t>
  </si>
  <si>
    <t>ORD-1124</t>
  </si>
  <si>
    <t>ORD-1125</t>
  </si>
  <si>
    <t>2025-01-11</t>
  </si>
  <si>
    <t>ORD-1126</t>
  </si>
  <si>
    <t>2025-01-20</t>
  </si>
  <si>
    <t>ORD-1127</t>
  </si>
  <si>
    <t>2024-04-07</t>
  </si>
  <si>
    <t>ORD-1128</t>
  </si>
  <si>
    <t>2024-08-17</t>
  </si>
  <si>
    <t>2024-08-22</t>
  </si>
  <si>
    <t>ORD-1129</t>
  </si>
  <si>
    <t>2025-04-08</t>
  </si>
  <si>
    <t>ORD-1130</t>
  </si>
  <si>
    <t>2024-08-31</t>
  </si>
  <si>
    <t>ORD-1131</t>
  </si>
  <si>
    <t>2025-10-09</t>
  </si>
  <si>
    <t>ORD-1132</t>
  </si>
  <si>
    <t>2024-03-10</t>
  </si>
  <si>
    <t>2024-03-12</t>
  </si>
  <si>
    <t>ORD-1133</t>
  </si>
  <si>
    <t>2025-11-03</t>
  </si>
  <si>
    <t>2025-11-06</t>
  </si>
  <si>
    <t>ORD-1134</t>
  </si>
  <si>
    <t>2025-10-08</t>
  </si>
  <si>
    <t>2025-10-11</t>
  </si>
  <si>
    <t>ORD-1135</t>
  </si>
  <si>
    <t>2025-06-11</t>
  </si>
  <si>
    <t>ORD-1136</t>
  </si>
  <si>
    <t>ORD-1137</t>
  </si>
  <si>
    <t>2025-03-10</t>
  </si>
  <si>
    <t>2025-03-13</t>
  </si>
  <si>
    <t>ORD-1138</t>
  </si>
  <si>
    <t>ORD-1139</t>
  </si>
  <si>
    <t>2025-01-07</t>
  </si>
  <si>
    <t>ORD-1140</t>
  </si>
  <si>
    <t>2025-08-03</t>
  </si>
  <si>
    <t>2025-08-06</t>
  </si>
  <si>
    <t>ORD-1141</t>
  </si>
  <si>
    <t>2024-11-17</t>
  </si>
  <si>
    <t>2024-11-20</t>
  </si>
  <si>
    <t>ORD-1142</t>
  </si>
  <si>
    <t>2024-08-07</t>
  </si>
  <si>
    <t>2024-08-11</t>
  </si>
  <si>
    <t>ORD-1143</t>
  </si>
  <si>
    <t>2025-11-14</t>
  </si>
  <si>
    <t>2025-11-16</t>
  </si>
  <si>
    <t>ORD-1144</t>
  </si>
  <si>
    <t>ORD-1145</t>
  </si>
  <si>
    <t>2024-03-08</t>
  </si>
  <si>
    <t>2024-03-11</t>
  </si>
  <si>
    <t>ORD-1146</t>
  </si>
  <si>
    <t>2025-11-27</t>
  </si>
  <si>
    <t>ORD-1147</t>
  </si>
  <si>
    <t>2024-11-07</t>
  </si>
  <si>
    <t>ORD-1148</t>
  </si>
  <si>
    <t>2025-10-02</t>
  </si>
  <si>
    <t>ORD-1149</t>
  </si>
  <si>
    <t>2024-01-30</t>
  </si>
  <si>
    <t>ORD-1150</t>
  </si>
  <si>
    <t>2025-05-09</t>
  </si>
  <si>
    <t>ORD-1151</t>
  </si>
  <si>
    <t>2025-09-13</t>
  </si>
  <si>
    <t>2025-09-18</t>
  </si>
  <si>
    <t>ORD-1152</t>
  </si>
  <si>
    <t>ORD-1153</t>
  </si>
  <si>
    <t>2024-12-01</t>
  </si>
  <si>
    <t>2024-12-03</t>
  </si>
  <si>
    <t>ORD-1154</t>
  </si>
  <si>
    <t>2024-08-08</t>
  </si>
  <si>
    <t>ORD-1155</t>
  </si>
  <si>
    <t>2024-05-19</t>
  </si>
  <si>
    <t>ORD-1156</t>
  </si>
  <si>
    <t>2025-01-30</t>
  </si>
  <si>
    <t>2025-02-05</t>
  </si>
  <si>
    <t>ORD-1157</t>
  </si>
  <si>
    <t>2024-07-27</t>
  </si>
  <si>
    <t>ORD-1158</t>
  </si>
  <si>
    <t>ORD-1159</t>
  </si>
  <si>
    <t>2024-01-18</t>
  </si>
  <si>
    <t>ORD-1160</t>
  </si>
  <si>
    <t>2025-08-24</t>
  </si>
  <si>
    <t>ORD-1161</t>
  </si>
  <si>
    <t>ORD-1162</t>
  </si>
  <si>
    <t>2025-12-23</t>
  </si>
  <si>
    <t>ORD-1163</t>
  </si>
  <si>
    <t>2025-07-13</t>
  </si>
  <si>
    <t>ORD-1164</t>
  </si>
  <si>
    <t>2025-12-22</t>
  </si>
  <si>
    <t>ORD-1165</t>
  </si>
  <si>
    <t>2024-12-22</t>
  </si>
  <si>
    <t>ORD-1166</t>
  </si>
  <si>
    <t>2025-07-29</t>
  </si>
  <si>
    <t>ORD-1167</t>
  </si>
  <si>
    <t>2024-04-19</t>
  </si>
  <si>
    <t>ORD-1168</t>
  </si>
  <si>
    <t>2025-10-28</t>
  </si>
  <si>
    <t>2025-11-01</t>
  </si>
  <si>
    <t>ORD-1169</t>
  </si>
  <si>
    <t>ORD-1170</t>
  </si>
  <si>
    <t>2024-10-18</t>
  </si>
  <si>
    <t>ORD-1171</t>
  </si>
  <si>
    <t>2025-10-25</t>
  </si>
  <si>
    <t>ORD-1172</t>
  </si>
  <si>
    <t>2025-06-18</t>
  </si>
  <si>
    <t>ORD-1173</t>
  </si>
  <si>
    <t>ORD-1174</t>
  </si>
  <si>
    <t>2024-11-10</t>
  </si>
  <si>
    <t>ORD-1175</t>
  </si>
  <si>
    <t>2024-06-05</t>
  </si>
  <si>
    <t>ORD-1176</t>
  </si>
  <si>
    <t>2025-06-24</t>
  </si>
  <si>
    <t>ORD-1177</t>
  </si>
  <si>
    <t>2024-05-03</t>
  </si>
  <si>
    <t>ORD-1178</t>
  </si>
  <si>
    <t>ORD-1179</t>
  </si>
  <si>
    <t>2024-03-18</t>
  </si>
  <si>
    <t>ORD-1180</t>
  </si>
  <si>
    <t>2025-01-26</t>
  </si>
  <si>
    <t>ORD-1181</t>
  </si>
  <si>
    <t>2024-01-04</t>
  </si>
  <si>
    <t>ORD-1182</t>
  </si>
  <si>
    <t>2024-07-12</t>
  </si>
  <si>
    <t>2024-07-16</t>
  </si>
  <si>
    <t>ORD-1183</t>
  </si>
  <si>
    <t>2024-02-15</t>
  </si>
  <si>
    <t>2024-02-21</t>
  </si>
  <si>
    <t>ORD-1184</t>
  </si>
  <si>
    <t>2024-09-02</t>
  </si>
  <si>
    <t>ORD-1185</t>
  </si>
  <si>
    <t>2025-07-23</t>
  </si>
  <si>
    <t>ORD-1186</t>
  </si>
  <si>
    <t>2024-08-18</t>
  </si>
  <si>
    <t>2024-08-21</t>
  </si>
  <si>
    <t>ORD-1187</t>
  </si>
  <si>
    <t>2025-10-24</t>
  </si>
  <si>
    <t>ORD-1188</t>
  </si>
  <si>
    <t>2025-08-31</t>
  </si>
  <si>
    <t>ORD-1189</t>
  </si>
  <si>
    <t>2025-12-16</t>
  </si>
  <si>
    <t>ORD-1190</t>
  </si>
  <si>
    <t>2025-06-09</t>
  </si>
  <si>
    <t>2025-06-14</t>
  </si>
  <si>
    <t>ORD-1191</t>
  </si>
  <si>
    <t>2024-01-17</t>
  </si>
  <si>
    <t>ORD-1192</t>
  </si>
  <si>
    <t>2025-07-24</t>
  </si>
  <si>
    <t>ORD-1193</t>
  </si>
  <si>
    <t>2025-07-09</t>
  </si>
  <si>
    <t>2025-07-14</t>
  </si>
  <si>
    <t>ORD-1194</t>
  </si>
  <si>
    <t>ORD-1195</t>
  </si>
  <si>
    <t>2025-06-26</t>
  </si>
  <si>
    <t>2025-07-01</t>
  </si>
  <si>
    <t>ORD-1196</t>
  </si>
  <si>
    <t>2024-12-28</t>
  </si>
  <si>
    <t>2024-12-30</t>
  </si>
  <si>
    <t>ORD-1197</t>
  </si>
  <si>
    <t>ORD-1198</t>
  </si>
  <si>
    <t>2025-08-02</t>
  </si>
  <si>
    <t>ORD-1199</t>
  </si>
  <si>
    <t>2024-07-02</t>
  </si>
  <si>
    <t>ORD-1200</t>
  </si>
  <si>
    <t>ORD-1201</t>
  </si>
  <si>
    <t>2024-01-31</t>
  </si>
  <si>
    <t>ORD-1202</t>
  </si>
  <si>
    <t>2025-09-25</t>
  </si>
  <si>
    <t>ORD-1203</t>
  </si>
  <si>
    <t>2025-01-04</t>
  </si>
  <si>
    <t>ORD-1204</t>
  </si>
  <si>
    <t>ORD-1205</t>
  </si>
  <si>
    <t>2024-10-25</t>
  </si>
  <si>
    <t>ORD-1206</t>
  </si>
  <si>
    <t>2024-10-01</t>
  </si>
  <si>
    <t>2024-10-03</t>
  </si>
  <si>
    <t>ORD-1207</t>
  </si>
  <si>
    <t>ORD-1208</t>
  </si>
  <si>
    <t>2025-03-26</t>
  </si>
  <si>
    <t>ORD-1209</t>
  </si>
  <si>
    <t>2024-11-22</t>
  </si>
  <si>
    <t>2024-11-24</t>
  </si>
  <si>
    <t>ORD-1210</t>
  </si>
  <si>
    <t>2025-11-29</t>
  </si>
  <si>
    <t>2025-12-02</t>
  </si>
  <si>
    <t>ORD-1211</t>
  </si>
  <si>
    <t>2024-05-22</t>
  </si>
  <si>
    <t>2024-05-25</t>
  </si>
  <si>
    <t>ORD-1212</t>
  </si>
  <si>
    <t>2025-07-10</t>
  </si>
  <si>
    <t>ORD-1213</t>
  </si>
  <si>
    <t>2024-12-05</t>
  </si>
  <si>
    <t>2024-12-10</t>
  </si>
  <si>
    <t>ORD-1214</t>
  </si>
  <si>
    <t>2025-01-18</t>
  </si>
  <si>
    <t>ORD-1215</t>
  </si>
  <si>
    <t>ORD-1216</t>
  </si>
  <si>
    <t>2024-03-09</t>
  </si>
  <si>
    <t>ORD-1217</t>
  </si>
  <si>
    <t>2025-07-26</t>
  </si>
  <si>
    <t>ORD-1218</t>
  </si>
  <si>
    <t>2024-02-03</t>
  </si>
  <si>
    <t>ORD-1219</t>
  </si>
  <si>
    <t>2025-07-03</t>
  </si>
  <si>
    <t>ORD-1220</t>
  </si>
  <si>
    <t>2025-09-17</t>
  </si>
  <si>
    <t>2025-09-19</t>
  </si>
  <si>
    <t>ORD-1221</t>
  </si>
  <si>
    <t>2025-11-26</t>
  </si>
  <si>
    <t>ORD-1222</t>
  </si>
  <si>
    <t>2025-08-11</t>
  </si>
  <si>
    <t>ORD-1223</t>
  </si>
  <si>
    <t>2025-01-02</t>
  </si>
  <si>
    <t>ORD-1224</t>
  </si>
  <si>
    <t>2025-05-15</t>
  </si>
  <si>
    <t>2025-05-18</t>
  </si>
  <si>
    <t>ORD-1225</t>
  </si>
  <si>
    <t>ORD-1226</t>
  </si>
  <si>
    <t>2024-04-14</t>
  </si>
  <si>
    <t>2024-04-16</t>
  </si>
  <si>
    <t>ORD-1227</t>
  </si>
  <si>
    <t>2025-08-25</t>
  </si>
  <si>
    <t>ORD-1228</t>
  </si>
  <si>
    <t>2024-11-27</t>
  </si>
  <si>
    <t>2024-12-02</t>
  </si>
  <si>
    <t>ORD-1229</t>
  </si>
  <si>
    <t>2024-09-12</t>
  </si>
  <si>
    <t>ORD-1230</t>
  </si>
  <si>
    <t>2025-10-10</t>
  </si>
  <si>
    <t>2025-10-13</t>
  </si>
  <si>
    <t>ORD-1231</t>
  </si>
  <si>
    <t>2025-10-12</t>
  </si>
  <si>
    <t>2025-10-14</t>
  </si>
  <si>
    <t>ORD-1232</t>
  </si>
  <si>
    <t>ORD-1233</t>
  </si>
  <si>
    <t>2025-03-14</t>
  </si>
  <si>
    <t>2025-03-19</t>
  </si>
  <si>
    <t>ORD-1234</t>
  </si>
  <si>
    <t>2025-02-09</t>
  </si>
  <si>
    <t>ORD-1235</t>
  </si>
  <si>
    <t>2024-01-09</t>
  </si>
  <si>
    <t>2024-01-13</t>
  </si>
  <si>
    <t>ORD-1236</t>
  </si>
  <si>
    <t>ORD-1237</t>
  </si>
  <si>
    <t>2024-08-06</t>
  </si>
  <si>
    <t>2024-08-13</t>
  </si>
  <si>
    <t>ORD-1238</t>
  </si>
  <si>
    <t>2025-03-15</t>
  </si>
  <si>
    <t>ORD-1239</t>
  </si>
  <si>
    <t>2024-07-29</t>
  </si>
  <si>
    <t>ORD-1240</t>
  </si>
  <si>
    <t>2025-01-06</t>
  </si>
  <si>
    <t>ORD-1241</t>
  </si>
  <si>
    <t>ORD-1242</t>
  </si>
  <si>
    <t>ORD-1243</t>
  </si>
  <si>
    <t>2025-02-04</t>
  </si>
  <si>
    <t>2025-02-08</t>
  </si>
  <si>
    <t>ORD-1244</t>
  </si>
  <si>
    <t>ORD-1245</t>
  </si>
  <si>
    <t>ORD-1246</t>
  </si>
  <si>
    <t>2025-04-11</t>
  </si>
  <si>
    <t>2025-04-13</t>
  </si>
  <si>
    <t>ORD-1247</t>
  </si>
  <si>
    <t>2025-06-05</t>
  </si>
  <si>
    <t>2025-06-08</t>
  </si>
  <si>
    <t>ORD-1248</t>
  </si>
  <si>
    <t>ORD-1249</t>
  </si>
  <si>
    <t>2024-08-16</t>
  </si>
  <si>
    <t>ORD-1250</t>
  </si>
  <si>
    <t>2025-07-31</t>
  </si>
  <si>
    <t>ORD-1251</t>
  </si>
  <si>
    <t>ORD-1252</t>
  </si>
  <si>
    <t>2024-04-21</t>
  </si>
  <si>
    <t>ORD-1253</t>
  </si>
  <si>
    <t>2025-12-18</t>
  </si>
  <si>
    <t>ORD-1254</t>
  </si>
  <si>
    <t>2025-11-11</t>
  </si>
  <si>
    <t>ORD-1255</t>
  </si>
  <si>
    <t>2024-03-17</t>
  </si>
  <si>
    <t>2024-03-23</t>
  </si>
  <si>
    <t>ORD-1256</t>
  </si>
  <si>
    <t>2025-04-07</t>
  </si>
  <si>
    <t>ORD-1257</t>
  </si>
  <si>
    <t>ORD-1258</t>
  </si>
  <si>
    <t>2025-02-20</t>
  </si>
  <si>
    <t>ORD-1259</t>
  </si>
  <si>
    <t>2024-05-13</t>
  </si>
  <si>
    <t>ORD-1260</t>
  </si>
  <si>
    <t>2024-04-04</t>
  </si>
  <si>
    <t>ORD-1261</t>
  </si>
  <si>
    <t>2025-11-30</t>
  </si>
  <si>
    <t>2025-12-03</t>
  </si>
  <si>
    <t>ORD-1262</t>
  </si>
  <si>
    <t>2025-05-25</t>
  </si>
  <si>
    <t>2025-05-27</t>
  </si>
  <si>
    <t>ORD-1263</t>
  </si>
  <si>
    <t>ORD-1264</t>
  </si>
  <si>
    <t>ORD-1265</t>
  </si>
  <si>
    <t>2025-06-30</t>
  </si>
  <si>
    <t>2025-07-06</t>
  </si>
  <si>
    <t>ORD-1266</t>
  </si>
  <si>
    <t>ORD-1267</t>
  </si>
  <si>
    <t>2025-09-08</t>
  </si>
  <si>
    <t>2025-09-11</t>
  </si>
  <si>
    <t>ORD-1268</t>
  </si>
  <si>
    <t>2024-03-01</t>
  </si>
  <si>
    <t>ORD-1269</t>
  </si>
  <si>
    <t>ORD-1270</t>
  </si>
  <si>
    <t>2025-11-12</t>
  </si>
  <si>
    <t>ORD-1271</t>
  </si>
  <si>
    <t>2024-07-05</t>
  </si>
  <si>
    <t>ORD-1272</t>
  </si>
  <si>
    <t>2025-10-15</t>
  </si>
  <si>
    <t>ORD-1273</t>
  </si>
  <si>
    <t>2024-02-19</t>
  </si>
  <si>
    <t>ORD-1274</t>
  </si>
  <si>
    <t>2024-06-15</t>
  </si>
  <si>
    <t>ORD-1275</t>
  </si>
  <si>
    <t>ORD-1276</t>
  </si>
  <si>
    <t>2024-02-24</t>
  </si>
  <si>
    <t>ORD-1277</t>
  </si>
  <si>
    <t>2024-09-07</t>
  </si>
  <si>
    <t>ORD-1278</t>
  </si>
  <si>
    <t>2024-04-11</t>
  </si>
  <si>
    <t>ORD-1279</t>
  </si>
  <si>
    <t>2025-10-19</t>
  </si>
  <si>
    <t>ORD-1280</t>
  </si>
  <si>
    <t>ORD-1281</t>
  </si>
  <si>
    <t>2025-06-19</t>
  </si>
  <si>
    <t>2025-06-21</t>
  </si>
  <si>
    <t>ORD-1282</t>
  </si>
  <si>
    <t>2025-04-09</t>
  </si>
  <si>
    <t>ORD-1283</t>
  </si>
  <si>
    <t>2024-11-23</t>
  </si>
  <si>
    <t>ORD-1284</t>
  </si>
  <si>
    <t>2024-04-25</t>
  </si>
  <si>
    <t>2024-05-01</t>
  </si>
  <si>
    <t>ORD-1285</t>
  </si>
  <si>
    <t>ORD-1286</t>
  </si>
  <si>
    <t>2025-02-12</t>
  </si>
  <si>
    <t>ORD-1287</t>
  </si>
  <si>
    <t>ORD-1288</t>
  </si>
  <si>
    <t>2024-08-04</t>
  </si>
  <si>
    <t>ORD-1289</t>
  </si>
  <si>
    <t>2024-06-29</t>
  </si>
  <si>
    <t>ORD-1290</t>
  </si>
  <si>
    <t>2025-06-01</t>
  </si>
  <si>
    <t>ORD-1291</t>
  </si>
  <si>
    <t>2024-06-16</t>
  </si>
  <si>
    <t>ORD-1292</t>
  </si>
  <si>
    <t>ORD-1293</t>
  </si>
  <si>
    <t>ORD-1294</t>
  </si>
  <si>
    <t>2024-01-08</t>
  </si>
  <si>
    <t>2024-01-11</t>
  </si>
  <si>
    <t>ORD-1295</t>
  </si>
  <si>
    <t>2024-10-10</t>
  </si>
  <si>
    <t>2024-10-14</t>
  </si>
  <si>
    <t>ORD-1296</t>
  </si>
  <si>
    <t>2024-10-29</t>
  </si>
  <si>
    <t>ORD-1297</t>
  </si>
  <si>
    <t>2025-11-18</t>
  </si>
  <si>
    <t>2025-11-21</t>
  </si>
  <si>
    <t>ORD-1298</t>
  </si>
  <si>
    <t>ORD-1299</t>
  </si>
  <si>
    <t>ORD-1300</t>
  </si>
  <si>
    <t>2024-07-24</t>
  </si>
  <si>
    <t>ORD-1301</t>
  </si>
  <si>
    <t>ORD-1302</t>
  </si>
  <si>
    <t>2025-09-21</t>
  </si>
  <si>
    <t>ORD-1303</t>
  </si>
  <si>
    <t>2025-06-27</t>
  </si>
  <si>
    <t>ORD-1304</t>
  </si>
  <si>
    <t>ORD-1305</t>
  </si>
  <si>
    <t>2024-07-11</t>
  </si>
  <si>
    <t>ORD-1306</t>
  </si>
  <si>
    <t>2025-01-10</t>
  </si>
  <si>
    <t>ORD-1307</t>
  </si>
  <si>
    <t>2025-03-02</t>
  </si>
  <si>
    <t>ORD-1308</t>
  </si>
  <si>
    <t>2025-03-06</t>
  </si>
  <si>
    <t>2025-03-08</t>
  </si>
  <si>
    <t>ORD-1309</t>
  </si>
  <si>
    <t>2025-05-24</t>
  </si>
  <si>
    <t>2025-05-26</t>
  </si>
  <si>
    <t>ORD-1310</t>
  </si>
  <si>
    <t>2025-12-05</t>
  </si>
  <si>
    <t>ORD-1311</t>
  </si>
  <si>
    <t>ORD-1312</t>
  </si>
  <si>
    <t>2024-10-24</t>
  </si>
  <si>
    <t>2024-10-30</t>
  </si>
  <si>
    <t>ORD-1313</t>
  </si>
  <si>
    <t>2025-03-24</t>
  </si>
  <si>
    <t>2025-03-31</t>
  </si>
  <si>
    <t>ORD-1314</t>
  </si>
  <si>
    <t>ORD-1315</t>
  </si>
  <si>
    <t>2025-09-20</t>
  </si>
  <si>
    <t>ORD-1316</t>
  </si>
  <si>
    <t>ORD-1317</t>
  </si>
  <si>
    <t>2025-11-08</t>
  </si>
  <si>
    <t>ORD-1318</t>
  </si>
  <si>
    <t>ORD-1319</t>
  </si>
  <si>
    <t>2024-03-21</t>
  </si>
  <si>
    <t>ORD-1320</t>
  </si>
  <si>
    <t>ORD-1321</t>
  </si>
  <si>
    <t>2024-12-15</t>
  </si>
  <si>
    <t>ORD-1322</t>
  </si>
  <si>
    <t>2024-04-26</t>
  </si>
  <si>
    <t>ORD-1323</t>
  </si>
  <si>
    <t>2024-02-16</t>
  </si>
  <si>
    <t>2024-02-18</t>
  </si>
  <si>
    <t>ORD-1324</t>
  </si>
  <si>
    <t>ORD-1325</t>
  </si>
  <si>
    <t>ORD-1326</t>
  </si>
  <si>
    <t>2024-05-11</t>
  </si>
  <si>
    <t>ORD-1327</t>
  </si>
  <si>
    <t>2025-02-11</t>
  </si>
  <si>
    <t>ORD-1328</t>
  </si>
  <si>
    <t>ORD-1329</t>
  </si>
  <si>
    <t>2024-12-26</t>
  </si>
  <si>
    <t>ORD-1330</t>
  </si>
  <si>
    <t>2024-07-23</t>
  </si>
  <si>
    <t>ORD-1331</t>
  </si>
  <si>
    <t>ORD-1332</t>
  </si>
  <si>
    <t>2025-01-31</t>
  </si>
  <si>
    <t>ORD-1333</t>
  </si>
  <si>
    <t>ORD-1334</t>
  </si>
  <si>
    <t>ORD-1335</t>
  </si>
  <si>
    <t>2025-04-22</t>
  </si>
  <si>
    <t>ORD-1336</t>
  </si>
  <si>
    <t>ORD-1337</t>
  </si>
  <si>
    <t>ORD-1338</t>
  </si>
  <si>
    <t>2025-11-15</t>
  </si>
  <si>
    <t>ORD-1339</t>
  </si>
  <si>
    <t>2024-09-21</t>
  </si>
  <si>
    <t>ORD-1340</t>
  </si>
  <si>
    <t>ORD-1341</t>
  </si>
  <si>
    <t>2025-12-07</t>
  </si>
  <si>
    <t>ORD-1342</t>
  </si>
  <si>
    <t>2024-09-23</t>
  </si>
  <si>
    <t>ORD-1343</t>
  </si>
  <si>
    <t>ORD-1344</t>
  </si>
  <si>
    <t>2025-02-14</t>
  </si>
  <si>
    <t>ORD-1345</t>
  </si>
  <si>
    <t>2024-11-01</t>
  </si>
  <si>
    <t>2024-11-05</t>
  </si>
  <si>
    <t>ORD-1346</t>
  </si>
  <si>
    <t>2024-08-03</t>
  </si>
  <si>
    <t>ORD-1347</t>
  </si>
  <si>
    <t>ORD-1348</t>
  </si>
  <si>
    <t>2024-12-31</t>
  </si>
  <si>
    <t>ORD-1349</t>
  </si>
  <si>
    <t>2025-08-05</t>
  </si>
  <si>
    <t>ORD-1350</t>
  </si>
  <si>
    <t>2025-01-03</t>
  </si>
  <si>
    <t>ORD-1351</t>
  </si>
  <si>
    <t>2024-05-23</t>
  </si>
  <si>
    <t>ORD-1352</t>
  </si>
  <si>
    <t>2025-07-20</t>
  </si>
  <si>
    <t>ORD-1353</t>
  </si>
  <si>
    <t>2025-04-20</t>
  </si>
  <si>
    <t>ORD-1354</t>
  </si>
  <si>
    <t>2025-04-01</t>
  </si>
  <si>
    <t>ORD-1355</t>
  </si>
  <si>
    <t>2024-03-05</t>
  </si>
  <si>
    <t>ORD-1356</t>
  </si>
  <si>
    <t>2024-04-18</t>
  </si>
  <si>
    <t>ORD-1357</t>
  </si>
  <si>
    <t>2025-01-23</t>
  </si>
  <si>
    <t>ORD-1358</t>
  </si>
  <si>
    <t>ORD-1359</t>
  </si>
  <si>
    <t>2025-02-28</t>
  </si>
  <si>
    <t>ORD-1360</t>
  </si>
  <si>
    <t>ORD-1361</t>
  </si>
  <si>
    <t>ORD-1362</t>
  </si>
  <si>
    <t>ORD-1363</t>
  </si>
  <si>
    <t>2025-09-12</t>
  </si>
  <si>
    <t>ORD-1364</t>
  </si>
  <si>
    <t>2025-11-25</t>
  </si>
  <si>
    <t>ORD-1365</t>
  </si>
  <si>
    <t>ORD-1366</t>
  </si>
  <si>
    <t>2025-12-27</t>
  </si>
  <si>
    <t>2025-12-29</t>
  </si>
  <si>
    <t>ORD-1367</t>
  </si>
  <si>
    <t>2024-06-07</t>
  </si>
  <si>
    <t>ORD-1368</t>
  </si>
  <si>
    <t>2025-07-21</t>
  </si>
  <si>
    <t>ORD-1369</t>
  </si>
  <si>
    <t>2024-08-23</t>
  </si>
  <si>
    <t>ORD-1370</t>
  </si>
  <si>
    <t>2025-10-17</t>
  </si>
  <si>
    <t>ORD-1371</t>
  </si>
  <si>
    <t>ORD-1372</t>
  </si>
  <si>
    <t>2024-02-04</t>
  </si>
  <si>
    <t>2024-02-10</t>
  </si>
  <si>
    <t>ORD-1373</t>
  </si>
  <si>
    <t>2024-12-27</t>
  </si>
  <si>
    <t>ORD-1374</t>
  </si>
  <si>
    <t>ORD-1375</t>
  </si>
  <si>
    <t>2024-12-14</t>
  </si>
  <si>
    <t>ORD-1376</t>
  </si>
  <si>
    <t>2025-04-14</t>
  </si>
  <si>
    <t>ORD-1377</t>
  </si>
  <si>
    <t>2025-02-26</t>
  </si>
  <si>
    <t>2025-03-04</t>
  </si>
  <si>
    <t>ORD-1378</t>
  </si>
  <si>
    <t>ORD-1379</t>
  </si>
  <si>
    <t>ORD-1380</t>
  </si>
  <si>
    <t>ORD-1381</t>
  </si>
  <si>
    <t>2024-07-06</t>
  </si>
  <si>
    <t>2024-07-10</t>
  </si>
  <si>
    <t>ORD-1382</t>
  </si>
  <si>
    <t>2025-02-07</t>
  </si>
  <si>
    <t>2025-02-10</t>
  </si>
  <si>
    <t>ORD-1383</t>
  </si>
  <si>
    <t>2025-01-08</t>
  </si>
  <si>
    <t>ORD-1384</t>
  </si>
  <si>
    <t>ORD-1385</t>
  </si>
  <si>
    <t>2024-08-29</t>
  </si>
  <si>
    <t>2024-09-01</t>
  </si>
  <si>
    <t>ORD-1386</t>
  </si>
  <si>
    <t>2024-11-03</t>
  </si>
  <si>
    <t>ORD-1387</t>
  </si>
  <si>
    <t>ORD-1388</t>
  </si>
  <si>
    <t>2024-10-23</t>
  </si>
  <si>
    <t>ORD-1389</t>
  </si>
  <si>
    <t>2025-10-23</t>
  </si>
  <si>
    <t>ORD-1390</t>
  </si>
  <si>
    <t>ORD-1391</t>
  </si>
  <si>
    <t>ORD-1392</t>
  </si>
  <si>
    <t>2025-06-20</t>
  </si>
  <si>
    <t>2025-06-25</t>
  </si>
  <si>
    <t>ORD-1393</t>
  </si>
  <si>
    <t>ORD-1394</t>
  </si>
  <si>
    <t>ORD-1395</t>
  </si>
  <si>
    <t>2025-05-08</t>
  </si>
  <si>
    <t>2025-05-11</t>
  </si>
  <si>
    <t>ORD-1396</t>
  </si>
  <si>
    <t>2024-10-20</t>
  </si>
  <si>
    <t>2024-10-22</t>
  </si>
  <si>
    <t>ORD-1397</t>
  </si>
  <si>
    <t>ORD-1398</t>
  </si>
  <si>
    <t>2024-09-26</t>
  </si>
  <si>
    <t>ORD-1399</t>
  </si>
  <si>
    <t>ORD-1400</t>
  </si>
  <si>
    <t>Sales</t>
  </si>
  <si>
    <t>Profit</t>
  </si>
  <si>
    <t>Order Type</t>
  </si>
  <si>
    <t>Discount Tier</t>
  </si>
  <si>
    <t>Days To Ship</t>
  </si>
  <si>
    <t>Average_Quantity</t>
  </si>
  <si>
    <t>Average_Unitprice</t>
  </si>
  <si>
    <t>Max_Quantity</t>
  </si>
  <si>
    <t>Min_Quantity</t>
  </si>
  <si>
    <t>Max_Unitprice</t>
  </si>
  <si>
    <t>Min_Unitprice</t>
  </si>
  <si>
    <t>Lookup_value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</si>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</sst>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yyyy\-mm\-dd"/>
    <numFmt numFmtId="168" formatCode="&quot;₹&quot;\ #,##0.00"/>
  </numFmts>
  <fonts count="4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3" fillId="0" borderId="2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164" fontId="3" fillId="0" borderId="8" xfId="0" applyNumberFormat="1" applyFont="1" applyBorder="1"/>
    <xf numFmtId="0" fontId="3" fillId="0" borderId="8" xfId="0" applyFont="1" applyBorder="1"/>
    <xf numFmtId="2" fontId="3" fillId="0" borderId="3" xfId="0" applyNumberFormat="1" applyFont="1" applyBorder="1"/>
    <xf numFmtId="168" fontId="2" fillId="2" borderId="5" xfId="0" applyNumberFormat="1" applyFont="1" applyFill="1" applyBorder="1" applyAlignment="1">
      <alignment horizontal="center" vertical="center"/>
    </xf>
    <xf numFmtId="168" fontId="0" fillId="0" borderId="0" xfId="0" applyNumberFormat="1"/>
    <xf numFmtId="9" fontId="1" fillId="0" borderId="1" xfId="2" applyBorder="1"/>
    <xf numFmtId="9" fontId="1" fillId="0" borderId="8" xfId="2" applyBorder="1"/>
    <xf numFmtId="168" fontId="1" fillId="0" borderId="1" xfId="1" applyNumberFormat="1" applyBorder="1"/>
    <xf numFmtId="168" fontId="1" fillId="0" borderId="8" xfId="1" applyNumberFormat="1" applyBorder="1"/>
    <xf numFmtId="0" fontId="0" fillId="0" borderId="0" xfId="0" applyAlignment="1">
      <alignment horizontal="center"/>
    </xf>
    <xf numFmtId="168" fontId="3" fillId="0" borderId="3" xfId="0" applyNumberFormat="1" applyFont="1" applyBorder="1"/>
    <xf numFmtId="168" fontId="3" fillId="0" borderId="9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22"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8" formatCode="&quot;₹&quot;\ #,##0.00"/>
    </dxf>
    <dxf>
      <numFmt numFmtId="168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168" formatCode="&quot;₹&quot;\ #,##0.0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yyyy\-mm\-dd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yyyy\-mm\-dd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F0860-668E-49C6-A591-943999F67F9F}" name="Table1" displayName="Table1" ref="A1:R401" totalsRowShown="0" headerRowDxfId="21" headerRowBorderDxfId="19" tableBorderDxfId="20" totalsRowBorderDxfId="18">
  <autoFilter ref="A1:R401" xr:uid="{BDFF0860-668E-49C6-A591-943999F67F9F}"/>
  <tableColumns count="18">
    <tableColumn id="1" xr3:uid="{3F1FACA9-4C0F-41ED-ACFD-7DD7A23F72AB}" name="Order ID" dataDxfId="17"/>
    <tableColumn id="2" xr3:uid="{D26E03C2-0E89-400A-81F2-C9A7B8DE9667}" name="Order Date" dataDxfId="16"/>
    <tableColumn id="3" xr3:uid="{26922F09-B3DE-442E-BF7A-BCAEBE3C86A3}" name="Ship Date" dataDxfId="15"/>
    <tableColumn id="4" xr3:uid="{399692F4-E0DA-494D-96DF-DDE65C6AFD0B}" name="Ship Mode" dataDxfId="14"/>
    <tableColumn id="5" xr3:uid="{52AB9D43-1239-4B0F-BA1D-DEF3D5EC3854}" name="Customer" dataDxfId="13"/>
    <tableColumn id="6" xr3:uid="{ECF70DF5-DA43-40A8-9419-4257F2DF464F}" name="Region" dataDxfId="12"/>
    <tableColumn id="7" xr3:uid="{9C806344-570B-4DD6-948C-BCE26929EB4E}" name="Sales Rep" dataDxfId="11"/>
    <tableColumn id="8" xr3:uid="{B39E32DE-3DD6-4156-B7B4-E3030520FEB0}" name="Category" dataDxfId="10"/>
    <tableColumn id="9" xr3:uid="{114B627D-0FD3-49B6-9ACD-0615BD1E6EEC}" name="Product" dataDxfId="9"/>
    <tableColumn id="10" xr3:uid="{2B85AF25-D862-48CF-BBD1-24AEABDF8279}" name="Quantity" dataDxfId="8"/>
    <tableColumn id="11" xr3:uid="{9DC71EE8-0B7D-49F2-8020-2AB71D5C2324}" name="Unit Price" dataDxfId="7" dataCellStyle="Currency"/>
    <tableColumn id="12" xr3:uid="{FD871910-8A88-4F8B-951A-06D3DA27D402}" name="Discount" dataDxfId="6" dataCellStyle="Percent"/>
    <tableColumn id="13" xr3:uid="{552D7D96-DDCA-4D45-A2A7-D4EEB25CCCA4}" name="Unit Cost" dataDxfId="5"/>
    <tableColumn id="14" xr3:uid="{3187ABF8-098C-44B9-B8B6-054AC442F778}" name="Sales" dataDxfId="4">
      <calculatedColumnFormula>(Table1[[#This Row],[Quantity]]*Table1[[#This Row],[Unit Price]])*(1-Table1[[#This Row],[Discount]])</calculatedColumnFormula>
    </tableColumn>
    <tableColumn id="15" xr3:uid="{3A8DD7CD-7E09-46F6-889A-BB1545F99736}" name="Profit" dataDxfId="3">
      <calculatedColumnFormula>(Table1[[#This Row],[Unit Price]]-Table1[[#This Row],[Unit Cost]])*Table1[[#This Row],[Quantity]]</calculatedColumnFormula>
    </tableColumn>
    <tableColumn id="16" xr3:uid="{64FFD74B-2A4B-45BD-A909-618877515724}" name="Order Type" dataDxfId="2">
      <calculatedColumnFormula>IF(J1&gt;10,"Bulk","Standard")</calculatedColumnFormula>
    </tableColumn>
    <tableColumn id="17" xr3:uid="{FAAC97CE-5DE7-438C-B7CE-4D70C2B5B03C}" name="Discount Tier" dataDxfId="1">
      <calculatedColumnFormula>IF(Table1[[#This Row],[Discount]]&gt;=15%,"HIGH",IF(Table1[[#This Row],[Discount]]&gt;=55,"MEDIUM","NONE"))</calculatedColumnFormula>
    </tableColumn>
    <tableColumn id="18" xr3:uid="{86F059CA-EBE7-463D-B4A0-4F630EF454F8}" name="Days To Ship" dataDxfId="0">
      <calculatedColumnFormula>Table1[[#This Row],[Ship Date]]-Table1[[#This Row],[Order Date]]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6BCDC7-F4F5-45EE-B99D-B6051183E8EC}" name="Table24" displayName="Table24" ref="A1:B2" totalsRowShown="0">
  <autoFilter ref="A1:B2" xr:uid="{846BCDC7-F4F5-45EE-B99D-B6051183E8EC}"/>
  <tableColumns count="2">
    <tableColumn id="1" xr3:uid="{8DB9AAB9-E20C-4976-B1CF-9E1546DFC641}" name="Average_Quantity">
      <calculatedColumnFormula>AVERAGE(Table1[Quantity])</calculatedColumnFormula>
    </tableColumn>
    <tableColumn id="2" xr3:uid="{605F7806-C718-45D6-B099-BEEDA4C6E20A}" name="Average_Unitprice">
      <calculatedColumnFormula>AVERAGE(Table1[[#This Row],[Unit Price]])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B520E9-3F43-46A7-92F6-7E41C002D2BC}" name="Table4" displayName="Table4" ref="A4:B5" totalsRowShown="0">
  <autoFilter ref="A4:B5" xr:uid="{3BB520E9-3F43-46A7-92F6-7E41C002D2BC}"/>
  <tableColumns count="2">
    <tableColumn id="1" xr3:uid="{1981E500-5115-4AA6-8B75-2C90F12EB9CF}" name="Max_Quantity">
      <calculatedColumnFormula>MAX(Table1[Quantity])</calculatedColumnFormula>
    </tableColumn>
    <tableColumn id="2" xr3:uid="{C54C4B20-2FAC-4B2C-9386-46845EBC15B0}" name="Max_Unitprice">
      <calculatedColumnFormula>MAX(Sales_Data!K:K)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9A7C59-09AE-4C55-9DB7-795025C2850A}" name="Table5" displayName="Table5" ref="A8:B9" totalsRowShown="0">
  <autoFilter ref="A8:B9" xr:uid="{6D9A7C59-09AE-4C55-9DB7-795025C2850A}"/>
  <tableColumns count="2">
    <tableColumn id="1" xr3:uid="{322115E2-B1F2-4C35-8112-8608BE3FEABB}" name="Min_Quantity">
      <calculatedColumnFormula>MIN(Sales_Data!J380:J401)</calculatedColumnFormula>
    </tableColumn>
    <tableColumn id="2" xr3:uid="{5C2D76B1-6F87-41DA-9C2D-14FA6DF314E4}" name="Min_Unitprice">
      <calculatedColumnFormula>MIN(Sales_Data!K380:K401)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1"/>
  <sheetViews>
    <sheetView zoomScale="90" zoomScaleNormal="90" workbookViewId="0">
      <pane ySplit="1" topLeftCell="A388" activePane="bottomLeft" state="frozen"/>
      <selection pane="bottomLeft" activeCell="A385" sqref="A385"/>
    </sheetView>
  </sheetViews>
  <sheetFormatPr defaultColWidth="8.7109375" defaultRowHeight="15" x14ac:dyDescent="0.25"/>
  <cols>
    <col min="1" max="1" width="11.85546875" customWidth="1"/>
    <col min="2" max="2" width="14.42578125" customWidth="1"/>
    <col min="3" max="3" width="13" customWidth="1"/>
    <col min="4" max="4" width="14" customWidth="1"/>
    <col min="5" max="5" width="16" customWidth="1"/>
    <col min="6" max="6" width="10.42578125" customWidth="1"/>
    <col min="7" max="7" width="13.42578125" customWidth="1"/>
    <col min="8" max="8" width="15" customWidth="1"/>
    <col min="9" max="9" width="14" customWidth="1"/>
    <col min="10" max="10" width="11.5703125" customWidth="1"/>
    <col min="11" max="11" width="13.140625" customWidth="1"/>
    <col min="12" max="12" width="12.140625" customWidth="1"/>
    <col min="13" max="13" width="12.5703125" customWidth="1"/>
    <col min="14" max="14" width="13.28515625" customWidth="1"/>
    <col min="15" max="15" width="10.28515625" bestFit="1" customWidth="1"/>
    <col min="16" max="16" width="17.42578125" bestFit="1" customWidth="1"/>
    <col min="17" max="17" width="19.42578125" bestFit="1" customWidth="1"/>
    <col min="18" max="18" width="19.28515625" bestFit="1" customWidth="1"/>
    <col min="20" max="20" width="18.5703125" customWidth="1"/>
    <col min="21" max="21" width="19" customWidth="1"/>
  </cols>
  <sheetData>
    <row r="1" spans="1:1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1" t="s">
        <v>904</v>
      </c>
      <c r="O1" s="5" t="s">
        <v>905</v>
      </c>
      <c r="P1" s="5" t="s">
        <v>906</v>
      </c>
      <c r="Q1" s="5" t="s">
        <v>907</v>
      </c>
      <c r="R1" s="5" t="s">
        <v>908</v>
      </c>
    </row>
    <row r="2" spans="1:18" x14ac:dyDescent="0.25">
      <c r="A2" s="3" t="s">
        <v>13</v>
      </c>
      <c r="B2" s="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24</v>
      </c>
      <c r="K2" s="15">
        <v>167.87</v>
      </c>
      <c r="L2" s="13">
        <v>0.15</v>
      </c>
      <c r="M2" s="10">
        <v>129.77000000000001</v>
      </c>
      <c r="N2" s="12">
        <f>(Table1[[#This Row],[Quantity]]*Table1[[#This Row],[Unit Price]])*(1-Table1[[#This Row],[Discount]])</f>
        <v>3424.5480000000002</v>
      </c>
      <c r="O2" s="12">
        <f>(Table1[[#This Row],[Unit Price]]-Table1[[#This Row],[Unit Cost]])*Table1[[#This Row],[Quantity]]</f>
        <v>914.39999999999986</v>
      </c>
      <c r="P2" s="17" t="str">
        <f t="shared" ref="P2:P65" si="0">IF(J1&gt;10,"Bulk","Standard")</f>
        <v>Bulk</v>
      </c>
      <c r="Q2" t="str">
        <f>IF(Table1[[#This Row],[Discount]]&gt;=15%,"HIGH",IF(Table1[[#This Row],[Discount]]&gt;=55,"MEDIUM","NONE"))</f>
        <v>HIGH</v>
      </c>
      <c r="R2">
        <f>Table1[[#This Row],[Ship Date]]-Table1[[#This Row],[Order Date]]</f>
        <v>4</v>
      </c>
    </row>
    <row r="3" spans="1:18" x14ac:dyDescent="0.25">
      <c r="A3" s="3" t="s">
        <v>22</v>
      </c>
      <c r="B3" s="2" t="s">
        <v>23</v>
      </c>
      <c r="C3" s="2" t="s">
        <v>23</v>
      </c>
      <c r="D3" s="1" t="s">
        <v>24</v>
      </c>
      <c r="E3" s="1" t="s">
        <v>17</v>
      </c>
      <c r="F3" s="1" t="s">
        <v>25</v>
      </c>
      <c r="G3" s="1" t="s">
        <v>26</v>
      </c>
      <c r="H3" s="1" t="s">
        <v>20</v>
      </c>
      <c r="I3" s="1" t="s">
        <v>21</v>
      </c>
      <c r="J3" s="1">
        <v>7</v>
      </c>
      <c r="K3" s="15">
        <v>873.42</v>
      </c>
      <c r="L3" s="13">
        <v>0.15</v>
      </c>
      <c r="M3" s="10">
        <v>599.37</v>
      </c>
      <c r="N3" s="12">
        <f>(Table1[[#This Row],[Quantity]]*Table1[[#This Row],[Unit Price]])*(1-Table1[[#This Row],[Discount]])</f>
        <v>5196.8489999999993</v>
      </c>
      <c r="O3" s="12">
        <f>(Table1[[#This Row],[Unit Price]]-Table1[[#This Row],[Unit Cost]])*Table1[[#This Row],[Quantity]]</f>
        <v>1918.3499999999997</v>
      </c>
      <c r="P3" s="17" t="str">
        <f t="shared" si="0"/>
        <v>Bulk</v>
      </c>
      <c r="Q3" t="str">
        <f>IF(Table1[[#This Row],[Discount]]&gt;=15%,"HIGH",IF(Table1[[#This Row],[Discount]]&gt;=55,"MEDIUM","NONE"))</f>
        <v>HIGH</v>
      </c>
      <c r="R3">
        <f>Table1[[#This Row],[Ship Date]]-Table1[[#This Row],[Order Date]]</f>
        <v>0</v>
      </c>
    </row>
    <row r="4" spans="1:18" x14ac:dyDescent="0.25">
      <c r="A4" s="3" t="s">
        <v>27</v>
      </c>
      <c r="B4" s="2" t="s">
        <v>28</v>
      </c>
      <c r="C4" s="2" t="s">
        <v>29</v>
      </c>
      <c r="D4" s="1" t="s">
        <v>30</v>
      </c>
      <c r="E4" s="1" t="s">
        <v>31</v>
      </c>
      <c r="F4" s="1" t="s">
        <v>25</v>
      </c>
      <c r="G4" s="1" t="s">
        <v>32</v>
      </c>
      <c r="H4" s="1" t="s">
        <v>33</v>
      </c>
      <c r="I4" s="1" t="s">
        <v>34</v>
      </c>
      <c r="J4" s="1">
        <v>5</v>
      </c>
      <c r="K4" s="15">
        <v>10.18</v>
      </c>
      <c r="L4" s="13">
        <v>0.2</v>
      </c>
      <c r="M4" s="10">
        <v>6.46</v>
      </c>
      <c r="N4" s="12">
        <f>(Table1[[#This Row],[Quantity]]*Table1[[#This Row],[Unit Price]])*(1-Table1[[#This Row],[Discount]])</f>
        <v>40.72</v>
      </c>
      <c r="O4" s="12">
        <f>(Table1[[#This Row],[Unit Price]]-Table1[[#This Row],[Unit Cost]])*Table1[[#This Row],[Quantity]]</f>
        <v>18.599999999999998</v>
      </c>
      <c r="P4" s="17" t="str">
        <f t="shared" si="0"/>
        <v>Standard</v>
      </c>
      <c r="Q4" t="str">
        <f>IF(Table1[[#This Row],[Discount]]&gt;=15%,"HIGH",IF(Table1[[#This Row],[Discount]]&gt;=55,"MEDIUM","NONE"))</f>
        <v>HIGH</v>
      </c>
      <c r="R4">
        <f>Table1[[#This Row],[Ship Date]]-Table1[[#This Row],[Order Date]]</f>
        <v>3</v>
      </c>
    </row>
    <row r="5" spans="1:18" x14ac:dyDescent="0.25">
      <c r="A5" s="3" t="s">
        <v>35</v>
      </c>
      <c r="B5" s="2" t="s">
        <v>36</v>
      </c>
      <c r="C5" s="2" t="s">
        <v>36</v>
      </c>
      <c r="D5" s="1" t="s">
        <v>24</v>
      </c>
      <c r="E5" s="1" t="s">
        <v>37</v>
      </c>
      <c r="F5" s="1" t="s">
        <v>38</v>
      </c>
      <c r="G5" s="1" t="s">
        <v>26</v>
      </c>
      <c r="H5" s="1" t="s">
        <v>33</v>
      </c>
      <c r="I5" s="1" t="s">
        <v>39</v>
      </c>
      <c r="J5" s="1">
        <v>15</v>
      </c>
      <c r="K5" s="15">
        <v>22.38</v>
      </c>
      <c r="L5" s="13">
        <v>0.05</v>
      </c>
      <c r="M5" s="10">
        <v>12.75</v>
      </c>
      <c r="N5" s="12">
        <f>(Table1[[#This Row],[Quantity]]*Table1[[#This Row],[Unit Price]])*(1-Table1[[#This Row],[Discount]])</f>
        <v>318.91499999999996</v>
      </c>
      <c r="O5" s="12">
        <f>(Table1[[#This Row],[Unit Price]]-Table1[[#This Row],[Unit Cost]])*Table1[[#This Row],[Quantity]]</f>
        <v>144.44999999999999</v>
      </c>
      <c r="P5" s="17" t="str">
        <f t="shared" si="0"/>
        <v>Standard</v>
      </c>
      <c r="Q5" t="str">
        <f>IF(Table1[[#This Row],[Discount]]&gt;=15%,"HIGH",IF(Table1[[#This Row],[Discount]]&gt;=55,"MEDIUM","NONE"))</f>
        <v>NONE</v>
      </c>
      <c r="R5">
        <f>Table1[[#This Row],[Ship Date]]-Table1[[#This Row],[Order Date]]</f>
        <v>0</v>
      </c>
    </row>
    <row r="6" spans="1:18" x14ac:dyDescent="0.25">
      <c r="A6" s="3" t="s">
        <v>40</v>
      </c>
      <c r="B6" s="2" t="s">
        <v>41</v>
      </c>
      <c r="C6" s="2" t="s">
        <v>42</v>
      </c>
      <c r="D6" s="1" t="s">
        <v>16</v>
      </c>
      <c r="E6" s="1" t="s">
        <v>17</v>
      </c>
      <c r="F6" s="1" t="s">
        <v>43</v>
      </c>
      <c r="G6" s="1" t="s">
        <v>44</v>
      </c>
      <c r="H6" s="1" t="s">
        <v>45</v>
      </c>
      <c r="I6" s="1" t="s">
        <v>46</v>
      </c>
      <c r="J6" s="1">
        <v>8</v>
      </c>
      <c r="K6" s="15">
        <v>701.2</v>
      </c>
      <c r="L6" s="13">
        <v>0.05</v>
      </c>
      <c r="M6" s="10">
        <v>434.39</v>
      </c>
      <c r="N6" s="12">
        <f>(Table1[[#This Row],[Quantity]]*Table1[[#This Row],[Unit Price]])*(1-Table1[[#This Row],[Discount]])</f>
        <v>5329.12</v>
      </c>
      <c r="O6" s="12">
        <f>(Table1[[#This Row],[Unit Price]]-Table1[[#This Row],[Unit Cost]])*Table1[[#This Row],[Quantity]]</f>
        <v>2134.4800000000005</v>
      </c>
      <c r="P6" s="17" t="str">
        <f t="shared" si="0"/>
        <v>Bulk</v>
      </c>
      <c r="Q6" t="str">
        <f>IF(Table1[[#This Row],[Discount]]&gt;=15%,"HIGH",IF(Table1[[#This Row],[Discount]]&gt;=55,"MEDIUM","NONE"))</f>
        <v>NONE</v>
      </c>
      <c r="R6">
        <f>Table1[[#This Row],[Ship Date]]-Table1[[#This Row],[Order Date]]</f>
        <v>6</v>
      </c>
    </row>
    <row r="7" spans="1:18" x14ac:dyDescent="0.25">
      <c r="A7" s="3" t="s">
        <v>47</v>
      </c>
      <c r="B7" s="2" t="s">
        <v>48</v>
      </c>
      <c r="C7" s="2" t="s">
        <v>48</v>
      </c>
      <c r="D7" s="1" t="s">
        <v>24</v>
      </c>
      <c r="E7" s="1" t="s">
        <v>49</v>
      </c>
      <c r="F7" s="1" t="s">
        <v>18</v>
      </c>
      <c r="G7" s="1" t="s">
        <v>50</v>
      </c>
      <c r="H7" s="1" t="s">
        <v>33</v>
      </c>
      <c r="I7" s="1" t="s">
        <v>51</v>
      </c>
      <c r="J7" s="1">
        <v>24</v>
      </c>
      <c r="K7" s="15">
        <v>11.3</v>
      </c>
      <c r="L7" s="13">
        <v>0.05</v>
      </c>
      <c r="M7" s="10">
        <v>7.29</v>
      </c>
      <c r="N7" s="12">
        <f>(Table1[[#This Row],[Quantity]]*Table1[[#This Row],[Unit Price]])*(1-Table1[[#This Row],[Discount]])</f>
        <v>257.64000000000004</v>
      </c>
      <c r="O7" s="12">
        <f>(Table1[[#This Row],[Unit Price]]-Table1[[#This Row],[Unit Cost]])*Table1[[#This Row],[Quantity]]</f>
        <v>96.240000000000009</v>
      </c>
      <c r="P7" s="17" t="str">
        <f t="shared" si="0"/>
        <v>Standard</v>
      </c>
      <c r="Q7" t="str">
        <f>IF(Table1[[#This Row],[Discount]]&gt;=15%,"HIGH",IF(Table1[[#This Row],[Discount]]&gt;=55,"MEDIUM","NONE"))</f>
        <v>NONE</v>
      </c>
      <c r="R7">
        <f>Table1[[#This Row],[Ship Date]]-Table1[[#This Row],[Order Date]]</f>
        <v>0</v>
      </c>
    </row>
    <row r="8" spans="1:18" x14ac:dyDescent="0.25">
      <c r="A8" s="3" t="s">
        <v>52</v>
      </c>
      <c r="B8" s="2" t="s">
        <v>53</v>
      </c>
      <c r="C8" s="2" t="s">
        <v>54</v>
      </c>
      <c r="D8" s="1" t="s">
        <v>16</v>
      </c>
      <c r="E8" s="1" t="s">
        <v>55</v>
      </c>
      <c r="F8" s="1" t="s">
        <v>18</v>
      </c>
      <c r="G8" s="1" t="s">
        <v>44</v>
      </c>
      <c r="H8" s="1" t="s">
        <v>45</v>
      </c>
      <c r="I8" s="1" t="s">
        <v>46</v>
      </c>
      <c r="J8" s="1">
        <v>7</v>
      </c>
      <c r="K8" s="15">
        <v>735.72</v>
      </c>
      <c r="L8" s="13">
        <v>0.1</v>
      </c>
      <c r="M8" s="10">
        <v>565.84</v>
      </c>
      <c r="N8" s="12">
        <f>(Table1[[#This Row],[Quantity]]*Table1[[#This Row],[Unit Price]])*(1-Table1[[#This Row],[Discount]])</f>
        <v>4635.0360000000001</v>
      </c>
      <c r="O8" s="12">
        <f>(Table1[[#This Row],[Unit Price]]-Table1[[#This Row],[Unit Cost]])*Table1[[#This Row],[Quantity]]</f>
        <v>1189.1599999999999</v>
      </c>
      <c r="P8" s="17" t="str">
        <f t="shared" si="0"/>
        <v>Bulk</v>
      </c>
      <c r="Q8" t="str">
        <f>IF(Table1[[#This Row],[Discount]]&gt;=15%,"HIGH",IF(Table1[[#This Row],[Discount]]&gt;=55,"MEDIUM","NONE"))</f>
        <v>NONE</v>
      </c>
      <c r="R8">
        <f>Table1[[#This Row],[Ship Date]]-Table1[[#This Row],[Order Date]]</f>
        <v>6</v>
      </c>
    </row>
    <row r="9" spans="1:18" x14ac:dyDescent="0.25">
      <c r="A9" s="3" t="s">
        <v>56</v>
      </c>
      <c r="B9" s="2" t="s">
        <v>57</v>
      </c>
      <c r="C9" s="2" t="s">
        <v>58</v>
      </c>
      <c r="D9" s="1" t="s">
        <v>16</v>
      </c>
      <c r="E9" s="1" t="s">
        <v>59</v>
      </c>
      <c r="F9" s="1" t="s">
        <v>60</v>
      </c>
      <c r="G9" s="1" t="s">
        <v>44</v>
      </c>
      <c r="H9" s="1" t="s">
        <v>61</v>
      </c>
      <c r="I9" s="1" t="s">
        <v>62</v>
      </c>
      <c r="J9" s="1">
        <v>8</v>
      </c>
      <c r="K9" s="15">
        <v>69.599999999999994</v>
      </c>
      <c r="L9" s="13">
        <v>0.1</v>
      </c>
      <c r="M9" s="10">
        <v>42.85</v>
      </c>
      <c r="N9" s="12">
        <f>(Table1[[#This Row],[Quantity]]*Table1[[#This Row],[Unit Price]])*(1-Table1[[#This Row],[Discount]])</f>
        <v>501.11999999999995</v>
      </c>
      <c r="O9" s="12">
        <f>(Table1[[#This Row],[Unit Price]]-Table1[[#This Row],[Unit Cost]])*Table1[[#This Row],[Quantity]]</f>
        <v>213.99999999999994</v>
      </c>
      <c r="P9" s="17" t="str">
        <f t="shared" si="0"/>
        <v>Standard</v>
      </c>
      <c r="Q9" t="str">
        <f>IF(Table1[[#This Row],[Discount]]&gt;=15%,"HIGH",IF(Table1[[#This Row],[Discount]]&gt;=55,"MEDIUM","NONE"))</f>
        <v>NONE</v>
      </c>
      <c r="R9">
        <f>Table1[[#This Row],[Ship Date]]-Table1[[#This Row],[Order Date]]</f>
        <v>7</v>
      </c>
    </row>
    <row r="10" spans="1:18" x14ac:dyDescent="0.25">
      <c r="A10" s="3" t="s">
        <v>63</v>
      </c>
      <c r="B10" s="2" t="s">
        <v>64</v>
      </c>
      <c r="C10" s="2" t="s">
        <v>65</v>
      </c>
      <c r="D10" s="1" t="s">
        <v>16</v>
      </c>
      <c r="E10" s="1" t="s">
        <v>66</v>
      </c>
      <c r="F10" s="1" t="s">
        <v>38</v>
      </c>
      <c r="G10" s="1" t="s">
        <v>67</v>
      </c>
      <c r="H10" s="1" t="s">
        <v>45</v>
      </c>
      <c r="I10" s="1" t="s">
        <v>68</v>
      </c>
      <c r="J10" s="1">
        <v>4</v>
      </c>
      <c r="K10" s="15">
        <v>173.1</v>
      </c>
      <c r="L10" s="13">
        <v>0</v>
      </c>
      <c r="M10" s="10">
        <v>129.47999999999999</v>
      </c>
      <c r="N10" s="12">
        <f>(Table1[[#This Row],[Quantity]]*Table1[[#This Row],[Unit Price]])*(1-Table1[[#This Row],[Discount]])</f>
        <v>692.4</v>
      </c>
      <c r="O10" s="12">
        <f>(Table1[[#This Row],[Unit Price]]-Table1[[#This Row],[Unit Cost]])*Table1[[#This Row],[Quantity]]</f>
        <v>174.48000000000002</v>
      </c>
      <c r="P10" s="17" t="str">
        <f t="shared" si="0"/>
        <v>Standard</v>
      </c>
      <c r="Q10" t="str">
        <f>IF(Table1[[#This Row],[Discount]]&gt;=15%,"HIGH",IF(Table1[[#This Row],[Discount]]&gt;=55,"MEDIUM","NONE"))</f>
        <v>NONE</v>
      </c>
      <c r="R10">
        <f>Table1[[#This Row],[Ship Date]]-Table1[[#This Row],[Order Date]]</f>
        <v>7</v>
      </c>
    </row>
    <row r="11" spans="1:18" x14ac:dyDescent="0.25">
      <c r="A11" s="3" t="s">
        <v>69</v>
      </c>
      <c r="B11" s="2" t="s">
        <v>70</v>
      </c>
      <c r="C11" s="2" t="s">
        <v>70</v>
      </c>
      <c r="D11" s="1" t="s">
        <v>24</v>
      </c>
      <c r="E11" s="1" t="s">
        <v>71</v>
      </c>
      <c r="F11" s="1" t="s">
        <v>60</v>
      </c>
      <c r="G11" s="1" t="s">
        <v>44</v>
      </c>
      <c r="H11" s="1" t="s">
        <v>61</v>
      </c>
      <c r="I11" s="1" t="s">
        <v>72</v>
      </c>
      <c r="J11" s="1">
        <v>1</v>
      </c>
      <c r="K11" s="15">
        <v>64.42</v>
      </c>
      <c r="L11" s="13">
        <v>0</v>
      </c>
      <c r="M11" s="10">
        <v>46.41</v>
      </c>
      <c r="N11" s="12">
        <f>(Table1[[#This Row],[Quantity]]*Table1[[#This Row],[Unit Price]])*(1-Table1[[#This Row],[Discount]])</f>
        <v>64.42</v>
      </c>
      <c r="O11" s="12">
        <f>(Table1[[#This Row],[Unit Price]]-Table1[[#This Row],[Unit Cost]])*Table1[[#This Row],[Quantity]]</f>
        <v>18.010000000000005</v>
      </c>
      <c r="P11" s="17" t="str">
        <f t="shared" si="0"/>
        <v>Standard</v>
      </c>
      <c r="Q11" t="str">
        <f>IF(Table1[[#This Row],[Discount]]&gt;=15%,"HIGH",IF(Table1[[#This Row],[Discount]]&gt;=55,"MEDIUM","NONE"))</f>
        <v>NONE</v>
      </c>
      <c r="R11">
        <f>Table1[[#This Row],[Ship Date]]-Table1[[#This Row],[Order Date]]</f>
        <v>0</v>
      </c>
    </row>
    <row r="12" spans="1:18" x14ac:dyDescent="0.25">
      <c r="A12" s="3" t="s">
        <v>73</v>
      </c>
      <c r="B12" s="2" t="s">
        <v>74</v>
      </c>
      <c r="C12" s="2" t="s">
        <v>74</v>
      </c>
      <c r="D12" s="1" t="s">
        <v>24</v>
      </c>
      <c r="E12" s="1" t="s">
        <v>75</v>
      </c>
      <c r="F12" s="1" t="s">
        <v>25</v>
      </c>
      <c r="G12" s="1" t="s">
        <v>26</v>
      </c>
      <c r="H12" s="1" t="s">
        <v>33</v>
      </c>
      <c r="I12" s="1" t="s">
        <v>76</v>
      </c>
      <c r="J12" s="1">
        <v>24</v>
      </c>
      <c r="K12" s="15">
        <v>12.01</v>
      </c>
      <c r="L12" s="13">
        <v>0.1</v>
      </c>
      <c r="M12" s="10">
        <v>8.89</v>
      </c>
      <c r="N12" s="12">
        <f>(Table1[[#This Row],[Quantity]]*Table1[[#This Row],[Unit Price]])*(1-Table1[[#This Row],[Discount]])</f>
        <v>259.416</v>
      </c>
      <c r="O12" s="12">
        <f>(Table1[[#This Row],[Unit Price]]-Table1[[#This Row],[Unit Cost]])*Table1[[#This Row],[Quantity]]</f>
        <v>74.879999999999981</v>
      </c>
      <c r="P12" s="17" t="str">
        <f t="shared" si="0"/>
        <v>Standard</v>
      </c>
      <c r="Q12" t="str">
        <f>IF(Table1[[#This Row],[Discount]]&gt;=15%,"HIGH",IF(Table1[[#This Row],[Discount]]&gt;=55,"MEDIUM","NONE"))</f>
        <v>NONE</v>
      </c>
      <c r="R12">
        <f>Table1[[#This Row],[Ship Date]]-Table1[[#This Row],[Order Date]]</f>
        <v>0</v>
      </c>
    </row>
    <row r="13" spans="1:18" x14ac:dyDescent="0.25">
      <c r="A13" s="3" t="s">
        <v>77</v>
      </c>
      <c r="B13" s="2" t="s">
        <v>14</v>
      </c>
      <c r="C13" s="2" t="s">
        <v>14</v>
      </c>
      <c r="D13" s="1" t="s">
        <v>24</v>
      </c>
      <c r="E13" s="1" t="s">
        <v>78</v>
      </c>
      <c r="F13" s="1" t="s">
        <v>18</v>
      </c>
      <c r="G13" s="1" t="s">
        <v>26</v>
      </c>
      <c r="H13" s="1" t="s">
        <v>45</v>
      </c>
      <c r="I13" s="1" t="s">
        <v>68</v>
      </c>
      <c r="J13" s="1">
        <v>11</v>
      </c>
      <c r="K13" s="15">
        <v>421.57</v>
      </c>
      <c r="L13" s="13">
        <v>0</v>
      </c>
      <c r="M13" s="10">
        <v>329.78</v>
      </c>
      <c r="N13" s="12">
        <f>(Table1[[#This Row],[Quantity]]*Table1[[#This Row],[Unit Price]])*(1-Table1[[#This Row],[Discount]])</f>
        <v>4637.2699999999995</v>
      </c>
      <c r="O13" s="12">
        <f>(Table1[[#This Row],[Unit Price]]-Table1[[#This Row],[Unit Cost]])*Table1[[#This Row],[Quantity]]</f>
        <v>1009.6900000000003</v>
      </c>
      <c r="P13" s="17" t="str">
        <f t="shared" si="0"/>
        <v>Bulk</v>
      </c>
      <c r="Q13" t="str">
        <f>IF(Table1[[#This Row],[Discount]]&gt;=15%,"HIGH",IF(Table1[[#This Row],[Discount]]&gt;=55,"MEDIUM","NONE"))</f>
        <v>NONE</v>
      </c>
      <c r="R13">
        <f>Table1[[#This Row],[Ship Date]]-Table1[[#This Row],[Order Date]]</f>
        <v>0</v>
      </c>
    </row>
    <row r="14" spans="1:18" x14ac:dyDescent="0.25">
      <c r="A14" s="3" t="s">
        <v>79</v>
      </c>
      <c r="B14" s="2" t="s">
        <v>80</v>
      </c>
      <c r="C14" s="2" t="s">
        <v>81</v>
      </c>
      <c r="D14" s="1" t="s">
        <v>16</v>
      </c>
      <c r="E14" s="1" t="s">
        <v>49</v>
      </c>
      <c r="F14" s="1" t="s">
        <v>43</v>
      </c>
      <c r="G14" s="1" t="s">
        <v>82</v>
      </c>
      <c r="H14" s="1" t="s">
        <v>45</v>
      </c>
      <c r="I14" s="1" t="s">
        <v>83</v>
      </c>
      <c r="J14" s="1">
        <v>25</v>
      </c>
      <c r="K14" s="15">
        <v>454.2</v>
      </c>
      <c r="L14" s="13">
        <v>0</v>
      </c>
      <c r="M14" s="10">
        <v>264.39</v>
      </c>
      <c r="N14" s="12">
        <f>(Table1[[#This Row],[Quantity]]*Table1[[#This Row],[Unit Price]])*(1-Table1[[#This Row],[Discount]])</f>
        <v>11355</v>
      </c>
      <c r="O14" s="12">
        <f>(Table1[[#This Row],[Unit Price]]-Table1[[#This Row],[Unit Cost]])*Table1[[#This Row],[Quantity]]</f>
        <v>4745.25</v>
      </c>
      <c r="P14" s="17" t="str">
        <f t="shared" si="0"/>
        <v>Bulk</v>
      </c>
      <c r="Q14" t="str">
        <f>IF(Table1[[#This Row],[Discount]]&gt;=15%,"HIGH",IF(Table1[[#This Row],[Discount]]&gt;=55,"MEDIUM","NONE"))</f>
        <v>NONE</v>
      </c>
      <c r="R14">
        <f>Table1[[#This Row],[Ship Date]]-Table1[[#This Row],[Order Date]]</f>
        <v>7</v>
      </c>
    </row>
    <row r="15" spans="1:18" x14ac:dyDescent="0.25">
      <c r="A15" s="3" t="s">
        <v>84</v>
      </c>
      <c r="B15" s="2" t="s">
        <v>85</v>
      </c>
      <c r="C15" s="2" t="s">
        <v>86</v>
      </c>
      <c r="D15" s="1" t="s">
        <v>30</v>
      </c>
      <c r="E15" s="1" t="s">
        <v>87</v>
      </c>
      <c r="F15" s="1" t="s">
        <v>38</v>
      </c>
      <c r="G15" s="1" t="s">
        <v>44</v>
      </c>
      <c r="H15" s="1" t="s">
        <v>61</v>
      </c>
      <c r="I15" s="1" t="s">
        <v>88</v>
      </c>
      <c r="J15" s="1">
        <v>22</v>
      </c>
      <c r="K15" s="15">
        <v>61.99</v>
      </c>
      <c r="L15" s="13">
        <v>0.05</v>
      </c>
      <c r="M15" s="10">
        <v>48.04</v>
      </c>
      <c r="N15" s="12">
        <f>(Table1[[#This Row],[Quantity]]*Table1[[#This Row],[Unit Price]])*(1-Table1[[#This Row],[Discount]])</f>
        <v>1295.5909999999999</v>
      </c>
      <c r="O15" s="12">
        <f>(Table1[[#This Row],[Unit Price]]-Table1[[#This Row],[Unit Cost]])*Table1[[#This Row],[Quantity]]</f>
        <v>306.90000000000009</v>
      </c>
      <c r="P15" s="17" t="str">
        <f t="shared" si="0"/>
        <v>Bulk</v>
      </c>
      <c r="Q15" t="str">
        <f>IF(Table1[[#This Row],[Discount]]&gt;=15%,"HIGH",IF(Table1[[#This Row],[Discount]]&gt;=55,"MEDIUM","NONE"))</f>
        <v>NONE</v>
      </c>
      <c r="R15">
        <f>Table1[[#This Row],[Ship Date]]-Table1[[#This Row],[Order Date]]</f>
        <v>2</v>
      </c>
    </row>
    <row r="16" spans="1:18" x14ac:dyDescent="0.25">
      <c r="A16" s="3" t="s">
        <v>89</v>
      </c>
      <c r="B16" s="2" t="s">
        <v>90</v>
      </c>
      <c r="C16" s="2" t="s">
        <v>90</v>
      </c>
      <c r="D16" s="1" t="s">
        <v>24</v>
      </c>
      <c r="E16" s="1" t="s">
        <v>91</v>
      </c>
      <c r="F16" s="1" t="s">
        <v>18</v>
      </c>
      <c r="G16" s="1" t="s">
        <v>19</v>
      </c>
      <c r="H16" s="1" t="s">
        <v>45</v>
      </c>
      <c r="I16" s="1" t="s">
        <v>46</v>
      </c>
      <c r="J16" s="1">
        <v>8</v>
      </c>
      <c r="K16" s="15">
        <v>65.319999999999993</v>
      </c>
      <c r="L16" s="13">
        <v>0.15</v>
      </c>
      <c r="M16" s="10">
        <v>46.23</v>
      </c>
      <c r="N16" s="12">
        <f>(Table1[[#This Row],[Quantity]]*Table1[[#This Row],[Unit Price]])*(1-Table1[[#This Row],[Discount]])</f>
        <v>444.17599999999993</v>
      </c>
      <c r="O16" s="12">
        <f>(Table1[[#This Row],[Unit Price]]-Table1[[#This Row],[Unit Cost]])*Table1[[#This Row],[Quantity]]</f>
        <v>152.71999999999997</v>
      </c>
      <c r="P16" s="17" t="str">
        <f t="shared" si="0"/>
        <v>Bulk</v>
      </c>
      <c r="Q16" t="str">
        <f>IF(Table1[[#This Row],[Discount]]&gt;=15%,"HIGH",IF(Table1[[#This Row],[Discount]]&gt;=55,"MEDIUM","NONE"))</f>
        <v>HIGH</v>
      </c>
      <c r="R16">
        <f>Table1[[#This Row],[Ship Date]]-Table1[[#This Row],[Order Date]]</f>
        <v>0</v>
      </c>
    </row>
    <row r="17" spans="1:18" x14ac:dyDescent="0.25">
      <c r="A17" s="3" t="s">
        <v>92</v>
      </c>
      <c r="B17" s="2" t="s">
        <v>23</v>
      </c>
      <c r="C17" s="2" t="s">
        <v>23</v>
      </c>
      <c r="D17" s="1" t="s">
        <v>24</v>
      </c>
      <c r="E17" s="1" t="s">
        <v>17</v>
      </c>
      <c r="F17" s="1" t="s">
        <v>38</v>
      </c>
      <c r="G17" s="1" t="s">
        <v>44</v>
      </c>
      <c r="H17" s="1" t="s">
        <v>33</v>
      </c>
      <c r="I17" s="1" t="s">
        <v>34</v>
      </c>
      <c r="J17" s="1">
        <v>16</v>
      </c>
      <c r="K17" s="15">
        <v>10.14</v>
      </c>
      <c r="L17" s="13">
        <v>0</v>
      </c>
      <c r="M17" s="10">
        <v>7.41</v>
      </c>
      <c r="N17" s="12">
        <f>(Table1[[#This Row],[Quantity]]*Table1[[#This Row],[Unit Price]])*(1-Table1[[#This Row],[Discount]])</f>
        <v>162.24</v>
      </c>
      <c r="O17" s="12">
        <f>(Table1[[#This Row],[Unit Price]]-Table1[[#This Row],[Unit Cost]])*Table1[[#This Row],[Quantity]]</f>
        <v>43.680000000000007</v>
      </c>
      <c r="P17" s="17" t="str">
        <f t="shared" si="0"/>
        <v>Standard</v>
      </c>
      <c r="Q17" t="str">
        <f>IF(Table1[[#This Row],[Discount]]&gt;=15%,"HIGH",IF(Table1[[#This Row],[Discount]]&gt;=55,"MEDIUM","NONE"))</f>
        <v>NONE</v>
      </c>
      <c r="R17">
        <f>Table1[[#This Row],[Ship Date]]-Table1[[#This Row],[Order Date]]</f>
        <v>0</v>
      </c>
    </row>
    <row r="18" spans="1:18" x14ac:dyDescent="0.25">
      <c r="A18" s="3" t="s">
        <v>93</v>
      </c>
      <c r="B18" s="2" t="s">
        <v>94</v>
      </c>
      <c r="C18" s="2" t="s">
        <v>95</v>
      </c>
      <c r="D18" s="1" t="s">
        <v>30</v>
      </c>
      <c r="E18" s="1" t="s">
        <v>96</v>
      </c>
      <c r="F18" s="1" t="s">
        <v>43</v>
      </c>
      <c r="G18" s="1" t="s">
        <v>97</v>
      </c>
      <c r="H18" s="1" t="s">
        <v>61</v>
      </c>
      <c r="I18" s="1" t="s">
        <v>88</v>
      </c>
      <c r="J18" s="1">
        <v>14</v>
      </c>
      <c r="K18" s="15">
        <v>42.89</v>
      </c>
      <c r="L18" s="13">
        <v>0.2</v>
      </c>
      <c r="M18" s="10">
        <v>31.41</v>
      </c>
      <c r="N18" s="12">
        <f>(Table1[[#This Row],[Quantity]]*Table1[[#This Row],[Unit Price]])*(1-Table1[[#This Row],[Discount]])</f>
        <v>480.36800000000005</v>
      </c>
      <c r="O18" s="12">
        <f>(Table1[[#This Row],[Unit Price]]-Table1[[#This Row],[Unit Cost]])*Table1[[#This Row],[Quantity]]</f>
        <v>160.72</v>
      </c>
      <c r="P18" s="17" t="str">
        <f t="shared" si="0"/>
        <v>Bulk</v>
      </c>
      <c r="Q18" t="str">
        <f>IF(Table1[[#This Row],[Discount]]&gt;=15%,"HIGH",IF(Table1[[#This Row],[Discount]]&gt;=55,"MEDIUM","NONE"))</f>
        <v>HIGH</v>
      </c>
      <c r="R18">
        <f>Table1[[#This Row],[Ship Date]]-Table1[[#This Row],[Order Date]]</f>
        <v>2</v>
      </c>
    </row>
    <row r="19" spans="1:18" x14ac:dyDescent="0.25">
      <c r="A19" s="3" t="s">
        <v>98</v>
      </c>
      <c r="B19" s="2" t="s">
        <v>99</v>
      </c>
      <c r="C19" s="2" t="s">
        <v>99</v>
      </c>
      <c r="D19" s="1" t="s">
        <v>24</v>
      </c>
      <c r="E19" s="1" t="s">
        <v>87</v>
      </c>
      <c r="F19" s="1" t="s">
        <v>25</v>
      </c>
      <c r="G19" s="1" t="s">
        <v>19</v>
      </c>
      <c r="H19" s="1" t="s">
        <v>33</v>
      </c>
      <c r="I19" s="1" t="s">
        <v>34</v>
      </c>
      <c r="J19" s="1">
        <v>15</v>
      </c>
      <c r="K19" s="15">
        <v>7.33</v>
      </c>
      <c r="L19" s="13">
        <v>0</v>
      </c>
      <c r="M19" s="10">
        <v>4.54</v>
      </c>
      <c r="N19" s="12">
        <f>(Table1[[#This Row],[Quantity]]*Table1[[#This Row],[Unit Price]])*(1-Table1[[#This Row],[Discount]])</f>
        <v>109.95</v>
      </c>
      <c r="O19" s="12">
        <f>(Table1[[#This Row],[Unit Price]]-Table1[[#This Row],[Unit Cost]])*Table1[[#This Row],[Quantity]]</f>
        <v>41.85</v>
      </c>
      <c r="P19" s="17" t="str">
        <f t="shared" si="0"/>
        <v>Bulk</v>
      </c>
      <c r="Q19" t="str">
        <f>IF(Table1[[#This Row],[Discount]]&gt;=15%,"HIGH",IF(Table1[[#This Row],[Discount]]&gt;=55,"MEDIUM","NONE"))</f>
        <v>NONE</v>
      </c>
      <c r="R19">
        <f>Table1[[#This Row],[Ship Date]]-Table1[[#This Row],[Order Date]]</f>
        <v>0</v>
      </c>
    </row>
    <row r="20" spans="1:18" x14ac:dyDescent="0.25">
      <c r="A20" s="3" t="s">
        <v>100</v>
      </c>
      <c r="B20" s="2" t="s">
        <v>101</v>
      </c>
      <c r="C20" s="2" t="s">
        <v>102</v>
      </c>
      <c r="D20" s="1" t="s">
        <v>16</v>
      </c>
      <c r="E20" s="1" t="s">
        <v>91</v>
      </c>
      <c r="F20" s="1" t="s">
        <v>38</v>
      </c>
      <c r="G20" s="1" t="s">
        <v>67</v>
      </c>
      <c r="H20" s="1" t="s">
        <v>20</v>
      </c>
      <c r="I20" s="1" t="s">
        <v>21</v>
      </c>
      <c r="J20" s="1">
        <v>6</v>
      </c>
      <c r="K20" s="15">
        <v>517.38</v>
      </c>
      <c r="L20" s="13">
        <v>0.05</v>
      </c>
      <c r="M20" s="10">
        <v>312.20999999999998</v>
      </c>
      <c r="N20" s="12">
        <f>(Table1[[#This Row],[Quantity]]*Table1[[#This Row],[Unit Price]])*(1-Table1[[#This Row],[Discount]])</f>
        <v>2949.0659999999998</v>
      </c>
      <c r="O20" s="12">
        <f>(Table1[[#This Row],[Unit Price]]-Table1[[#This Row],[Unit Cost]])*Table1[[#This Row],[Quantity]]</f>
        <v>1231.02</v>
      </c>
      <c r="P20" s="17" t="str">
        <f t="shared" si="0"/>
        <v>Bulk</v>
      </c>
      <c r="Q20" t="str">
        <f>IF(Table1[[#This Row],[Discount]]&gt;=15%,"HIGH",IF(Table1[[#This Row],[Discount]]&gt;=55,"MEDIUM","NONE"))</f>
        <v>NONE</v>
      </c>
      <c r="R20">
        <f>Table1[[#This Row],[Ship Date]]-Table1[[#This Row],[Order Date]]</f>
        <v>7</v>
      </c>
    </row>
    <row r="21" spans="1:18" x14ac:dyDescent="0.25">
      <c r="A21" s="3" t="s">
        <v>103</v>
      </c>
      <c r="B21" s="2" t="s">
        <v>104</v>
      </c>
      <c r="C21" s="2" t="s">
        <v>105</v>
      </c>
      <c r="D21" s="1" t="s">
        <v>30</v>
      </c>
      <c r="E21" s="1" t="s">
        <v>37</v>
      </c>
      <c r="F21" s="1" t="s">
        <v>60</v>
      </c>
      <c r="G21" s="1" t="s">
        <v>82</v>
      </c>
      <c r="H21" s="1" t="s">
        <v>61</v>
      </c>
      <c r="I21" s="1" t="s">
        <v>106</v>
      </c>
      <c r="J21" s="1">
        <v>14</v>
      </c>
      <c r="K21" s="15">
        <v>65.73</v>
      </c>
      <c r="L21" s="13">
        <v>0.15</v>
      </c>
      <c r="M21" s="10">
        <v>52.51</v>
      </c>
      <c r="N21" s="12">
        <f>(Table1[[#This Row],[Quantity]]*Table1[[#This Row],[Unit Price]])*(1-Table1[[#This Row],[Discount]])</f>
        <v>782.18700000000001</v>
      </c>
      <c r="O21" s="12">
        <f>(Table1[[#This Row],[Unit Price]]-Table1[[#This Row],[Unit Cost]])*Table1[[#This Row],[Quantity]]</f>
        <v>185.0800000000001</v>
      </c>
      <c r="P21" s="17" t="str">
        <f t="shared" si="0"/>
        <v>Standard</v>
      </c>
      <c r="Q21" t="str">
        <f>IF(Table1[[#This Row],[Discount]]&gt;=15%,"HIGH",IF(Table1[[#This Row],[Discount]]&gt;=55,"MEDIUM","NONE"))</f>
        <v>HIGH</v>
      </c>
      <c r="R21">
        <f>Table1[[#This Row],[Ship Date]]-Table1[[#This Row],[Order Date]]</f>
        <v>2</v>
      </c>
    </row>
    <row r="22" spans="1:18" x14ac:dyDescent="0.25">
      <c r="A22" s="3" t="s">
        <v>107</v>
      </c>
      <c r="B22" s="2" t="s">
        <v>108</v>
      </c>
      <c r="C22" s="2" t="s">
        <v>108</v>
      </c>
      <c r="D22" s="1" t="s">
        <v>24</v>
      </c>
      <c r="E22" s="1" t="s">
        <v>109</v>
      </c>
      <c r="F22" s="1" t="s">
        <v>43</v>
      </c>
      <c r="G22" s="1" t="s">
        <v>26</v>
      </c>
      <c r="H22" s="1" t="s">
        <v>33</v>
      </c>
      <c r="I22" s="1" t="s">
        <v>51</v>
      </c>
      <c r="J22" s="1">
        <v>11</v>
      </c>
      <c r="K22" s="15">
        <v>4.17</v>
      </c>
      <c r="L22" s="13">
        <v>0.1</v>
      </c>
      <c r="M22" s="10">
        <v>2.79</v>
      </c>
      <c r="N22" s="12">
        <f>(Table1[[#This Row],[Quantity]]*Table1[[#This Row],[Unit Price]])*(1-Table1[[#This Row],[Discount]])</f>
        <v>41.283000000000001</v>
      </c>
      <c r="O22" s="12">
        <f>(Table1[[#This Row],[Unit Price]]-Table1[[#This Row],[Unit Cost]])*Table1[[#This Row],[Quantity]]</f>
        <v>15.18</v>
      </c>
      <c r="P22" s="17" t="str">
        <f t="shared" si="0"/>
        <v>Bulk</v>
      </c>
      <c r="Q22" t="str">
        <f>IF(Table1[[#This Row],[Discount]]&gt;=15%,"HIGH",IF(Table1[[#This Row],[Discount]]&gt;=55,"MEDIUM","NONE"))</f>
        <v>NONE</v>
      </c>
      <c r="R22">
        <f>Table1[[#This Row],[Ship Date]]-Table1[[#This Row],[Order Date]]</f>
        <v>0</v>
      </c>
    </row>
    <row r="23" spans="1:18" x14ac:dyDescent="0.25">
      <c r="A23" s="3" t="s">
        <v>110</v>
      </c>
      <c r="B23" s="2" t="s">
        <v>111</v>
      </c>
      <c r="C23" s="2" t="s">
        <v>111</v>
      </c>
      <c r="D23" s="1" t="s">
        <v>24</v>
      </c>
      <c r="E23" s="1" t="s">
        <v>112</v>
      </c>
      <c r="F23" s="1" t="s">
        <v>43</v>
      </c>
      <c r="G23" s="1" t="s">
        <v>67</v>
      </c>
      <c r="H23" s="1" t="s">
        <v>20</v>
      </c>
      <c r="I23" s="1" t="s">
        <v>113</v>
      </c>
      <c r="J23" s="1">
        <v>8</v>
      </c>
      <c r="K23" s="15">
        <v>514.34</v>
      </c>
      <c r="L23" s="13">
        <v>0.1</v>
      </c>
      <c r="M23" s="10">
        <v>314.55</v>
      </c>
      <c r="N23" s="12">
        <f>(Table1[[#This Row],[Quantity]]*Table1[[#This Row],[Unit Price]])*(1-Table1[[#This Row],[Discount]])</f>
        <v>3703.2480000000005</v>
      </c>
      <c r="O23" s="12">
        <f>(Table1[[#This Row],[Unit Price]]-Table1[[#This Row],[Unit Cost]])*Table1[[#This Row],[Quantity]]</f>
        <v>1598.3200000000002</v>
      </c>
      <c r="P23" s="17" t="str">
        <f t="shared" si="0"/>
        <v>Bulk</v>
      </c>
      <c r="Q23" t="str">
        <f>IF(Table1[[#This Row],[Discount]]&gt;=15%,"HIGH",IF(Table1[[#This Row],[Discount]]&gt;=55,"MEDIUM","NONE"))</f>
        <v>NONE</v>
      </c>
      <c r="R23">
        <f>Table1[[#This Row],[Ship Date]]-Table1[[#This Row],[Order Date]]</f>
        <v>0</v>
      </c>
    </row>
    <row r="24" spans="1:18" x14ac:dyDescent="0.25">
      <c r="A24" s="3" t="s">
        <v>114</v>
      </c>
      <c r="B24" s="2" t="s">
        <v>115</v>
      </c>
      <c r="C24" s="2" t="s">
        <v>116</v>
      </c>
      <c r="D24" s="1" t="s">
        <v>30</v>
      </c>
      <c r="E24" s="1" t="s">
        <v>117</v>
      </c>
      <c r="F24" s="1" t="s">
        <v>25</v>
      </c>
      <c r="G24" s="1" t="s">
        <v>19</v>
      </c>
      <c r="H24" s="1" t="s">
        <v>33</v>
      </c>
      <c r="I24" s="1" t="s">
        <v>39</v>
      </c>
      <c r="J24" s="1">
        <v>13</v>
      </c>
      <c r="K24" s="15">
        <v>6.97</v>
      </c>
      <c r="L24" s="13">
        <v>0.15</v>
      </c>
      <c r="M24" s="10">
        <v>4.3600000000000003</v>
      </c>
      <c r="N24" s="12">
        <f>(Table1[[#This Row],[Quantity]]*Table1[[#This Row],[Unit Price]])*(1-Table1[[#This Row],[Discount]])</f>
        <v>77.018500000000003</v>
      </c>
      <c r="O24" s="12">
        <f>(Table1[[#This Row],[Unit Price]]-Table1[[#This Row],[Unit Cost]])*Table1[[#This Row],[Quantity]]</f>
        <v>33.929999999999993</v>
      </c>
      <c r="P24" s="17" t="str">
        <f t="shared" si="0"/>
        <v>Standard</v>
      </c>
      <c r="Q24" t="str">
        <f>IF(Table1[[#This Row],[Discount]]&gt;=15%,"HIGH",IF(Table1[[#This Row],[Discount]]&gt;=55,"MEDIUM","NONE"))</f>
        <v>HIGH</v>
      </c>
      <c r="R24">
        <f>Table1[[#This Row],[Ship Date]]-Table1[[#This Row],[Order Date]]</f>
        <v>2</v>
      </c>
    </row>
    <row r="25" spans="1:18" x14ac:dyDescent="0.25">
      <c r="A25" s="3" t="s">
        <v>118</v>
      </c>
      <c r="B25" s="2" t="s">
        <v>119</v>
      </c>
      <c r="C25" s="2" t="s">
        <v>119</v>
      </c>
      <c r="D25" s="1" t="s">
        <v>24</v>
      </c>
      <c r="E25" s="1" t="s">
        <v>96</v>
      </c>
      <c r="F25" s="1" t="s">
        <v>38</v>
      </c>
      <c r="G25" s="1" t="s">
        <v>67</v>
      </c>
      <c r="H25" s="1" t="s">
        <v>61</v>
      </c>
      <c r="I25" s="1" t="s">
        <v>72</v>
      </c>
      <c r="J25" s="1">
        <v>7</v>
      </c>
      <c r="K25" s="15">
        <v>50.47</v>
      </c>
      <c r="L25" s="13">
        <v>0</v>
      </c>
      <c r="M25" s="10">
        <v>39.53</v>
      </c>
      <c r="N25" s="12">
        <f>(Table1[[#This Row],[Quantity]]*Table1[[#This Row],[Unit Price]])*(1-Table1[[#This Row],[Discount]])</f>
        <v>353.28999999999996</v>
      </c>
      <c r="O25" s="12">
        <f>(Table1[[#This Row],[Unit Price]]-Table1[[#This Row],[Unit Cost]])*Table1[[#This Row],[Quantity]]</f>
        <v>76.579999999999984</v>
      </c>
      <c r="P25" s="17" t="str">
        <f t="shared" si="0"/>
        <v>Bulk</v>
      </c>
      <c r="Q25" t="str">
        <f>IF(Table1[[#This Row],[Discount]]&gt;=15%,"HIGH",IF(Table1[[#This Row],[Discount]]&gt;=55,"MEDIUM","NONE"))</f>
        <v>NONE</v>
      </c>
      <c r="R25">
        <f>Table1[[#This Row],[Ship Date]]-Table1[[#This Row],[Order Date]]</f>
        <v>0</v>
      </c>
    </row>
    <row r="26" spans="1:18" x14ac:dyDescent="0.25">
      <c r="A26" s="3" t="s">
        <v>120</v>
      </c>
      <c r="B26" s="2" t="s">
        <v>121</v>
      </c>
      <c r="C26" s="2" t="s">
        <v>121</v>
      </c>
      <c r="D26" s="1" t="s">
        <v>24</v>
      </c>
      <c r="E26" s="1" t="s">
        <v>122</v>
      </c>
      <c r="F26" s="1" t="s">
        <v>60</v>
      </c>
      <c r="G26" s="1" t="s">
        <v>44</v>
      </c>
      <c r="H26" s="1" t="s">
        <v>33</v>
      </c>
      <c r="I26" s="1" t="s">
        <v>51</v>
      </c>
      <c r="J26" s="1">
        <v>21</v>
      </c>
      <c r="K26" s="15">
        <v>22.1</v>
      </c>
      <c r="L26" s="13">
        <v>0.15</v>
      </c>
      <c r="M26" s="10">
        <v>16.670000000000002</v>
      </c>
      <c r="N26" s="12">
        <f>(Table1[[#This Row],[Quantity]]*Table1[[#This Row],[Unit Price]])*(1-Table1[[#This Row],[Discount]])</f>
        <v>394.48500000000001</v>
      </c>
      <c r="O26" s="12">
        <f>(Table1[[#This Row],[Unit Price]]-Table1[[#This Row],[Unit Cost]])*Table1[[#This Row],[Quantity]]</f>
        <v>114.03</v>
      </c>
      <c r="P26" s="17" t="str">
        <f t="shared" si="0"/>
        <v>Standard</v>
      </c>
      <c r="Q26" t="str">
        <f>IF(Table1[[#This Row],[Discount]]&gt;=15%,"HIGH",IF(Table1[[#This Row],[Discount]]&gt;=55,"MEDIUM","NONE"))</f>
        <v>HIGH</v>
      </c>
      <c r="R26">
        <f>Table1[[#This Row],[Ship Date]]-Table1[[#This Row],[Order Date]]</f>
        <v>0</v>
      </c>
    </row>
    <row r="27" spans="1:18" x14ac:dyDescent="0.25">
      <c r="A27" s="3" t="s">
        <v>123</v>
      </c>
      <c r="B27" s="2" t="s">
        <v>124</v>
      </c>
      <c r="C27" s="2" t="s">
        <v>125</v>
      </c>
      <c r="D27" s="1" t="s">
        <v>30</v>
      </c>
      <c r="E27" s="1" t="s">
        <v>122</v>
      </c>
      <c r="F27" s="1" t="s">
        <v>43</v>
      </c>
      <c r="G27" s="1" t="s">
        <v>50</v>
      </c>
      <c r="H27" s="1" t="s">
        <v>33</v>
      </c>
      <c r="I27" s="1" t="s">
        <v>34</v>
      </c>
      <c r="J27" s="1">
        <v>10</v>
      </c>
      <c r="K27" s="15">
        <v>24.98</v>
      </c>
      <c r="L27" s="13">
        <v>0.15</v>
      </c>
      <c r="M27" s="10">
        <v>15.88</v>
      </c>
      <c r="N27" s="12">
        <f>(Table1[[#This Row],[Quantity]]*Table1[[#This Row],[Unit Price]])*(1-Table1[[#This Row],[Discount]])</f>
        <v>212.33</v>
      </c>
      <c r="O27" s="12">
        <f>(Table1[[#This Row],[Unit Price]]-Table1[[#This Row],[Unit Cost]])*Table1[[#This Row],[Quantity]]</f>
        <v>91</v>
      </c>
      <c r="P27" s="17" t="str">
        <f t="shared" si="0"/>
        <v>Bulk</v>
      </c>
      <c r="Q27" t="str">
        <f>IF(Table1[[#This Row],[Discount]]&gt;=15%,"HIGH",IF(Table1[[#This Row],[Discount]]&gt;=55,"MEDIUM","NONE"))</f>
        <v>HIGH</v>
      </c>
      <c r="R27">
        <f>Table1[[#This Row],[Ship Date]]-Table1[[#This Row],[Order Date]]</f>
        <v>3</v>
      </c>
    </row>
    <row r="28" spans="1:18" x14ac:dyDescent="0.25">
      <c r="A28" s="3" t="s">
        <v>126</v>
      </c>
      <c r="B28" s="2" t="s">
        <v>127</v>
      </c>
      <c r="C28" s="2" t="s">
        <v>128</v>
      </c>
      <c r="D28" s="1" t="s">
        <v>16</v>
      </c>
      <c r="E28" s="1" t="s">
        <v>37</v>
      </c>
      <c r="F28" s="1" t="s">
        <v>60</v>
      </c>
      <c r="G28" s="1" t="s">
        <v>26</v>
      </c>
      <c r="H28" s="1" t="s">
        <v>20</v>
      </c>
      <c r="I28" s="1" t="s">
        <v>21</v>
      </c>
      <c r="J28" s="1">
        <v>11</v>
      </c>
      <c r="K28" s="15">
        <v>936.79</v>
      </c>
      <c r="L28" s="13">
        <v>0.15</v>
      </c>
      <c r="M28" s="10">
        <v>744.7</v>
      </c>
      <c r="N28" s="12">
        <f>(Table1[[#This Row],[Quantity]]*Table1[[#This Row],[Unit Price]])*(1-Table1[[#This Row],[Discount]])</f>
        <v>8758.9864999999991</v>
      </c>
      <c r="O28" s="12">
        <f>(Table1[[#This Row],[Unit Price]]-Table1[[#This Row],[Unit Cost]])*Table1[[#This Row],[Quantity]]</f>
        <v>2112.9899999999989</v>
      </c>
      <c r="P28" s="17" t="str">
        <f t="shared" si="0"/>
        <v>Standard</v>
      </c>
      <c r="Q28" t="str">
        <f>IF(Table1[[#This Row],[Discount]]&gt;=15%,"HIGH",IF(Table1[[#This Row],[Discount]]&gt;=55,"MEDIUM","NONE"))</f>
        <v>HIGH</v>
      </c>
      <c r="R28">
        <f>Table1[[#This Row],[Ship Date]]-Table1[[#This Row],[Order Date]]</f>
        <v>5</v>
      </c>
    </row>
    <row r="29" spans="1:18" x14ac:dyDescent="0.25">
      <c r="A29" s="3" t="s">
        <v>129</v>
      </c>
      <c r="B29" s="2" t="s">
        <v>130</v>
      </c>
      <c r="C29" s="2" t="s">
        <v>130</v>
      </c>
      <c r="D29" s="1" t="s">
        <v>24</v>
      </c>
      <c r="E29" s="1" t="s">
        <v>96</v>
      </c>
      <c r="F29" s="1" t="s">
        <v>43</v>
      </c>
      <c r="G29" s="1" t="s">
        <v>67</v>
      </c>
      <c r="H29" s="1" t="s">
        <v>61</v>
      </c>
      <c r="I29" s="1" t="s">
        <v>72</v>
      </c>
      <c r="J29" s="1">
        <v>5</v>
      </c>
      <c r="K29" s="15">
        <v>53.65</v>
      </c>
      <c r="L29" s="13">
        <v>0.2</v>
      </c>
      <c r="M29" s="10">
        <v>34.46</v>
      </c>
      <c r="N29" s="12">
        <f>(Table1[[#This Row],[Quantity]]*Table1[[#This Row],[Unit Price]])*(1-Table1[[#This Row],[Discount]])</f>
        <v>214.60000000000002</v>
      </c>
      <c r="O29" s="12">
        <f>(Table1[[#This Row],[Unit Price]]-Table1[[#This Row],[Unit Cost]])*Table1[[#This Row],[Quantity]]</f>
        <v>95.949999999999989</v>
      </c>
      <c r="P29" s="17" t="str">
        <f t="shared" si="0"/>
        <v>Bulk</v>
      </c>
      <c r="Q29" t="str">
        <f>IF(Table1[[#This Row],[Discount]]&gt;=15%,"HIGH",IF(Table1[[#This Row],[Discount]]&gt;=55,"MEDIUM","NONE"))</f>
        <v>HIGH</v>
      </c>
      <c r="R29">
        <f>Table1[[#This Row],[Ship Date]]-Table1[[#This Row],[Order Date]]</f>
        <v>0</v>
      </c>
    </row>
    <row r="30" spans="1:18" x14ac:dyDescent="0.25">
      <c r="A30" s="3" t="s">
        <v>131</v>
      </c>
      <c r="B30" s="2" t="s">
        <v>132</v>
      </c>
      <c r="C30" s="2" t="s">
        <v>124</v>
      </c>
      <c r="D30" s="1" t="s">
        <v>16</v>
      </c>
      <c r="E30" s="1" t="s">
        <v>133</v>
      </c>
      <c r="F30" s="1" t="s">
        <v>18</v>
      </c>
      <c r="G30" s="1" t="s">
        <v>32</v>
      </c>
      <c r="H30" s="1" t="s">
        <v>20</v>
      </c>
      <c r="I30" s="1" t="s">
        <v>134</v>
      </c>
      <c r="J30" s="1">
        <v>22</v>
      </c>
      <c r="K30" s="15">
        <v>336.96</v>
      </c>
      <c r="L30" s="13">
        <v>0</v>
      </c>
      <c r="M30" s="10">
        <v>215.12</v>
      </c>
      <c r="N30" s="12">
        <f>(Table1[[#This Row],[Quantity]]*Table1[[#This Row],[Unit Price]])*(1-Table1[[#This Row],[Discount]])</f>
        <v>7413.12</v>
      </c>
      <c r="O30" s="12">
        <f>(Table1[[#This Row],[Unit Price]]-Table1[[#This Row],[Unit Cost]])*Table1[[#This Row],[Quantity]]</f>
        <v>2680.4799999999996</v>
      </c>
      <c r="P30" s="17" t="str">
        <f t="shared" si="0"/>
        <v>Standard</v>
      </c>
      <c r="Q30" t="str">
        <f>IF(Table1[[#This Row],[Discount]]&gt;=15%,"HIGH",IF(Table1[[#This Row],[Discount]]&gt;=55,"MEDIUM","NONE"))</f>
        <v>NONE</v>
      </c>
      <c r="R30">
        <f>Table1[[#This Row],[Ship Date]]-Table1[[#This Row],[Order Date]]</f>
        <v>7</v>
      </c>
    </row>
    <row r="31" spans="1:18" x14ac:dyDescent="0.25">
      <c r="A31" s="3" t="s">
        <v>135</v>
      </c>
      <c r="B31" s="2" t="s">
        <v>136</v>
      </c>
      <c r="C31" s="2" t="s">
        <v>136</v>
      </c>
      <c r="D31" s="1" t="s">
        <v>24</v>
      </c>
      <c r="E31" s="1" t="s">
        <v>91</v>
      </c>
      <c r="F31" s="1" t="s">
        <v>60</v>
      </c>
      <c r="G31" s="1" t="s">
        <v>50</v>
      </c>
      <c r="H31" s="1" t="s">
        <v>45</v>
      </c>
      <c r="I31" s="1" t="s">
        <v>68</v>
      </c>
      <c r="J31" s="1">
        <v>11</v>
      </c>
      <c r="K31" s="15">
        <v>638.97</v>
      </c>
      <c r="L31" s="13">
        <v>0.05</v>
      </c>
      <c r="M31" s="10">
        <v>479.58</v>
      </c>
      <c r="N31" s="12">
        <f>(Table1[[#This Row],[Quantity]]*Table1[[#This Row],[Unit Price]])*(1-Table1[[#This Row],[Discount]])</f>
        <v>6677.2365</v>
      </c>
      <c r="O31" s="12">
        <f>(Table1[[#This Row],[Unit Price]]-Table1[[#This Row],[Unit Cost]])*Table1[[#This Row],[Quantity]]</f>
        <v>1753.2900000000004</v>
      </c>
      <c r="P31" s="17" t="str">
        <f t="shared" si="0"/>
        <v>Bulk</v>
      </c>
      <c r="Q31" t="str">
        <f>IF(Table1[[#This Row],[Discount]]&gt;=15%,"HIGH",IF(Table1[[#This Row],[Discount]]&gt;=55,"MEDIUM","NONE"))</f>
        <v>NONE</v>
      </c>
      <c r="R31">
        <f>Table1[[#This Row],[Ship Date]]-Table1[[#This Row],[Order Date]]</f>
        <v>0</v>
      </c>
    </row>
    <row r="32" spans="1:18" x14ac:dyDescent="0.25">
      <c r="A32" s="3" t="s">
        <v>137</v>
      </c>
      <c r="B32" s="2" t="s">
        <v>138</v>
      </c>
      <c r="C32" s="2" t="s">
        <v>104</v>
      </c>
      <c r="D32" s="1" t="s">
        <v>16</v>
      </c>
      <c r="E32" s="1" t="s">
        <v>66</v>
      </c>
      <c r="F32" s="1" t="s">
        <v>43</v>
      </c>
      <c r="G32" s="1" t="s">
        <v>19</v>
      </c>
      <c r="H32" s="1" t="s">
        <v>20</v>
      </c>
      <c r="I32" s="1" t="s">
        <v>139</v>
      </c>
      <c r="J32" s="1">
        <v>15</v>
      </c>
      <c r="K32" s="15">
        <v>452.11</v>
      </c>
      <c r="L32" s="13">
        <v>0.2</v>
      </c>
      <c r="M32" s="10">
        <v>338.56</v>
      </c>
      <c r="N32" s="12">
        <f>(Table1[[#This Row],[Quantity]]*Table1[[#This Row],[Unit Price]])*(1-Table1[[#This Row],[Discount]])</f>
        <v>5425.3200000000006</v>
      </c>
      <c r="O32" s="12">
        <f>(Table1[[#This Row],[Unit Price]]-Table1[[#This Row],[Unit Cost]])*Table1[[#This Row],[Quantity]]</f>
        <v>1703.2500000000002</v>
      </c>
      <c r="P32" s="17" t="str">
        <f t="shared" si="0"/>
        <v>Bulk</v>
      </c>
      <c r="Q32" t="str">
        <f>IF(Table1[[#This Row],[Discount]]&gt;=15%,"HIGH",IF(Table1[[#This Row],[Discount]]&gt;=55,"MEDIUM","NONE"))</f>
        <v>HIGH</v>
      </c>
      <c r="R32">
        <f>Table1[[#This Row],[Ship Date]]-Table1[[#This Row],[Order Date]]</f>
        <v>5</v>
      </c>
    </row>
    <row r="33" spans="1:18" x14ac:dyDescent="0.25">
      <c r="A33" s="3" t="s">
        <v>140</v>
      </c>
      <c r="B33" s="2" t="s">
        <v>141</v>
      </c>
      <c r="C33" s="2" t="s">
        <v>142</v>
      </c>
      <c r="D33" s="1" t="s">
        <v>30</v>
      </c>
      <c r="E33" s="1" t="s">
        <v>37</v>
      </c>
      <c r="F33" s="1" t="s">
        <v>18</v>
      </c>
      <c r="G33" s="1" t="s">
        <v>67</v>
      </c>
      <c r="H33" s="1" t="s">
        <v>45</v>
      </c>
      <c r="I33" s="1" t="s">
        <v>143</v>
      </c>
      <c r="J33" s="1">
        <v>12</v>
      </c>
      <c r="K33" s="15">
        <v>534.70000000000005</v>
      </c>
      <c r="L33" s="13">
        <v>0.05</v>
      </c>
      <c r="M33" s="10">
        <v>384.92</v>
      </c>
      <c r="N33" s="12">
        <f>(Table1[[#This Row],[Quantity]]*Table1[[#This Row],[Unit Price]])*(1-Table1[[#This Row],[Discount]])</f>
        <v>6095.58</v>
      </c>
      <c r="O33" s="12">
        <f>(Table1[[#This Row],[Unit Price]]-Table1[[#This Row],[Unit Cost]])*Table1[[#This Row],[Quantity]]</f>
        <v>1797.3600000000004</v>
      </c>
      <c r="P33" s="17" t="str">
        <f t="shared" si="0"/>
        <v>Bulk</v>
      </c>
      <c r="Q33" t="str">
        <f>IF(Table1[[#This Row],[Discount]]&gt;=15%,"HIGH",IF(Table1[[#This Row],[Discount]]&gt;=55,"MEDIUM","NONE"))</f>
        <v>NONE</v>
      </c>
      <c r="R33">
        <f>Table1[[#This Row],[Ship Date]]-Table1[[#This Row],[Order Date]]</f>
        <v>2</v>
      </c>
    </row>
    <row r="34" spans="1:18" x14ac:dyDescent="0.25">
      <c r="A34" s="3" t="s">
        <v>144</v>
      </c>
      <c r="B34" s="2" t="s">
        <v>145</v>
      </c>
      <c r="C34" s="2" t="s">
        <v>146</v>
      </c>
      <c r="D34" s="1" t="s">
        <v>16</v>
      </c>
      <c r="E34" s="1" t="s">
        <v>37</v>
      </c>
      <c r="F34" s="1" t="s">
        <v>38</v>
      </c>
      <c r="G34" s="1" t="s">
        <v>26</v>
      </c>
      <c r="H34" s="1" t="s">
        <v>33</v>
      </c>
      <c r="I34" s="1" t="s">
        <v>51</v>
      </c>
      <c r="J34" s="1">
        <v>20</v>
      </c>
      <c r="K34" s="15">
        <v>18.510000000000002</v>
      </c>
      <c r="L34" s="13">
        <v>0.15</v>
      </c>
      <c r="M34" s="10">
        <v>13.82</v>
      </c>
      <c r="N34" s="12">
        <f>(Table1[[#This Row],[Quantity]]*Table1[[#This Row],[Unit Price]])*(1-Table1[[#This Row],[Discount]])</f>
        <v>314.67</v>
      </c>
      <c r="O34" s="12">
        <f>(Table1[[#This Row],[Unit Price]]-Table1[[#This Row],[Unit Cost]])*Table1[[#This Row],[Quantity]]</f>
        <v>93.800000000000026</v>
      </c>
      <c r="P34" s="17" t="str">
        <f t="shared" si="0"/>
        <v>Bulk</v>
      </c>
      <c r="Q34" t="str">
        <f>IF(Table1[[#This Row],[Discount]]&gt;=15%,"HIGH",IF(Table1[[#This Row],[Discount]]&gt;=55,"MEDIUM","NONE"))</f>
        <v>HIGH</v>
      </c>
      <c r="R34">
        <f>Table1[[#This Row],[Ship Date]]-Table1[[#This Row],[Order Date]]</f>
        <v>7</v>
      </c>
    </row>
    <row r="35" spans="1:18" x14ac:dyDescent="0.25">
      <c r="A35" s="3" t="s">
        <v>147</v>
      </c>
      <c r="B35" s="2" t="s">
        <v>70</v>
      </c>
      <c r="C35" s="2" t="s">
        <v>70</v>
      </c>
      <c r="D35" s="1" t="s">
        <v>24</v>
      </c>
      <c r="E35" s="1" t="s">
        <v>31</v>
      </c>
      <c r="F35" s="1" t="s">
        <v>43</v>
      </c>
      <c r="G35" s="1" t="s">
        <v>26</v>
      </c>
      <c r="H35" s="1" t="s">
        <v>45</v>
      </c>
      <c r="I35" s="1" t="s">
        <v>148</v>
      </c>
      <c r="J35" s="1">
        <v>18</v>
      </c>
      <c r="K35" s="15">
        <v>568.27</v>
      </c>
      <c r="L35" s="13">
        <v>0.15</v>
      </c>
      <c r="M35" s="10">
        <v>417.26</v>
      </c>
      <c r="N35" s="12">
        <f>(Table1[[#This Row],[Quantity]]*Table1[[#This Row],[Unit Price]])*(1-Table1[[#This Row],[Discount]])</f>
        <v>8694.5310000000009</v>
      </c>
      <c r="O35" s="12">
        <f>(Table1[[#This Row],[Unit Price]]-Table1[[#This Row],[Unit Cost]])*Table1[[#This Row],[Quantity]]</f>
        <v>2718.18</v>
      </c>
      <c r="P35" s="17" t="str">
        <f t="shared" si="0"/>
        <v>Bulk</v>
      </c>
      <c r="Q35" t="str">
        <f>IF(Table1[[#This Row],[Discount]]&gt;=15%,"HIGH",IF(Table1[[#This Row],[Discount]]&gt;=55,"MEDIUM","NONE"))</f>
        <v>HIGH</v>
      </c>
      <c r="R35">
        <f>Table1[[#This Row],[Ship Date]]-Table1[[#This Row],[Order Date]]</f>
        <v>0</v>
      </c>
    </row>
    <row r="36" spans="1:18" x14ac:dyDescent="0.25">
      <c r="A36" s="3" t="s">
        <v>149</v>
      </c>
      <c r="B36" s="2" t="s">
        <v>150</v>
      </c>
      <c r="C36" s="2" t="s">
        <v>150</v>
      </c>
      <c r="D36" s="1" t="s">
        <v>24</v>
      </c>
      <c r="E36" s="1" t="s">
        <v>112</v>
      </c>
      <c r="F36" s="1" t="s">
        <v>18</v>
      </c>
      <c r="G36" s="1" t="s">
        <v>32</v>
      </c>
      <c r="H36" s="1" t="s">
        <v>20</v>
      </c>
      <c r="I36" s="1" t="s">
        <v>151</v>
      </c>
      <c r="J36" s="1">
        <v>4</v>
      </c>
      <c r="K36" s="15">
        <v>877.72</v>
      </c>
      <c r="L36" s="13">
        <v>0</v>
      </c>
      <c r="M36" s="10">
        <v>594.02</v>
      </c>
      <c r="N36" s="12">
        <f>(Table1[[#This Row],[Quantity]]*Table1[[#This Row],[Unit Price]])*(1-Table1[[#This Row],[Discount]])</f>
        <v>3510.88</v>
      </c>
      <c r="O36" s="12">
        <f>(Table1[[#This Row],[Unit Price]]-Table1[[#This Row],[Unit Cost]])*Table1[[#This Row],[Quantity]]</f>
        <v>1134.8000000000002</v>
      </c>
      <c r="P36" s="17" t="str">
        <f t="shared" si="0"/>
        <v>Bulk</v>
      </c>
      <c r="Q36" t="str">
        <f>IF(Table1[[#This Row],[Discount]]&gt;=15%,"HIGH",IF(Table1[[#This Row],[Discount]]&gt;=55,"MEDIUM","NONE"))</f>
        <v>NONE</v>
      </c>
      <c r="R36">
        <f>Table1[[#This Row],[Ship Date]]-Table1[[#This Row],[Order Date]]</f>
        <v>0</v>
      </c>
    </row>
    <row r="37" spans="1:18" x14ac:dyDescent="0.25">
      <c r="A37" s="3" t="s">
        <v>152</v>
      </c>
      <c r="B37" s="2" t="s">
        <v>99</v>
      </c>
      <c r="C37" s="2" t="s">
        <v>99</v>
      </c>
      <c r="D37" s="1" t="s">
        <v>24</v>
      </c>
      <c r="E37" s="1" t="s">
        <v>87</v>
      </c>
      <c r="F37" s="1" t="s">
        <v>25</v>
      </c>
      <c r="G37" s="1" t="s">
        <v>97</v>
      </c>
      <c r="H37" s="1" t="s">
        <v>33</v>
      </c>
      <c r="I37" s="1" t="s">
        <v>153</v>
      </c>
      <c r="J37" s="1">
        <v>13</v>
      </c>
      <c r="K37" s="15">
        <v>27.74</v>
      </c>
      <c r="L37" s="13">
        <v>0</v>
      </c>
      <c r="M37" s="10">
        <v>19.53</v>
      </c>
      <c r="N37" s="12">
        <f>(Table1[[#This Row],[Quantity]]*Table1[[#This Row],[Unit Price]])*(1-Table1[[#This Row],[Discount]])</f>
        <v>360.62</v>
      </c>
      <c r="O37" s="12">
        <f>(Table1[[#This Row],[Unit Price]]-Table1[[#This Row],[Unit Cost]])*Table1[[#This Row],[Quantity]]</f>
        <v>106.72999999999996</v>
      </c>
      <c r="P37" s="17" t="str">
        <f t="shared" si="0"/>
        <v>Standard</v>
      </c>
      <c r="Q37" t="str">
        <f>IF(Table1[[#This Row],[Discount]]&gt;=15%,"HIGH",IF(Table1[[#This Row],[Discount]]&gt;=55,"MEDIUM","NONE"))</f>
        <v>NONE</v>
      </c>
      <c r="R37">
        <f>Table1[[#This Row],[Ship Date]]-Table1[[#This Row],[Order Date]]</f>
        <v>0</v>
      </c>
    </row>
    <row r="38" spans="1:18" x14ac:dyDescent="0.25">
      <c r="A38" s="3" t="s">
        <v>154</v>
      </c>
      <c r="B38" s="2" t="s">
        <v>155</v>
      </c>
      <c r="C38" s="2" t="s">
        <v>155</v>
      </c>
      <c r="D38" s="1" t="s">
        <v>24</v>
      </c>
      <c r="E38" s="1" t="s">
        <v>87</v>
      </c>
      <c r="F38" s="1" t="s">
        <v>18</v>
      </c>
      <c r="G38" s="1" t="s">
        <v>97</v>
      </c>
      <c r="H38" s="1" t="s">
        <v>20</v>
      </c>
      <c r="I38" s="1" t="s">
        <v>134</v>
      </c>
      <c r="J38" s="1">
        <v>20</v>
      </c>
      <c r="K38" s="15">
        <v>802.91</v>
      </c>
      <c r="L38" s="13">
        <v>0.05</v>
      </c>
      <c r="M38" s="10">
        <v>530.28</v>
      </c>
      <c r="N38" s="12">
        <f>(Table1[[#This Row],[Quantity]]*Table1[[#This Row],[Unit Price]])*(1-Table1[[#This Row],[Discount]])</f>
        <v>15255.289999999999</v>
      </c>
      <c r="O38" s="12">
        <f>(Table1[[#This Row],[Unit Price]]-Table1[[#This Row],[Unit Cost]])*Table1[[#This Row],[Quantity]]</f>
        <v>5452.6</v>
      </c>
      <c r="P38" s="17" t="str">
        <f t="shared" si="0"/>
        <v>Bulk</v>
      </c>
      <c r="Q38" t="str">
        <f>IF(Table1[[#This Row],[Discount]]&gt;=15%,"HIGH",IF(Table1[[#This Row],[Discount]]&gt;=55,"MEDIUM","NONE"))</f>
        <v>NONE</v>
      </c>
      <c r="R38">
        <f>Table1[[#This Row],[Ship Date]]-Table1[[#This Row],[Order Date]]</f>
        <v>0</v>
      </c>
    </row>
    <row r="39" spans="1:18" x14ac:dyDescent="0.25">
      <c r="A39" s="3" t="s">
        <v>156</v>
      </c>
      <c r="B39" s="2" t="s">
        <v>157</v>
      </c>
      <c r="C39" s="2" t="s">
        <v>158</v>
      </c>
      <c r="D39" s="1" t="s">
        <v>16</v>
      </c>
      <c r="E39" s="1" t="s">
        <v>112</v>
      </c>
      <c r="F39" s="1" t="s">
        <v>38</v>
      </c>
      <c r="G39" s="1" t="s">
        <v>32</v>
      </c>
      <c r="H39" s="1" t="s">
        <v>20</v>
      </c>
      <c r="I39" s="1" t="s">
        <v>134</v>
      </c>
      <c r="J39" s="1">
        <v>25</v>
      </c>
      <c r="K39" s="15">
        <v>320.10000000000002</v>
      </c>
      <c r="L39" s="13">
        <v>0</v>
      </c>
      <c r="M39" s="10">
        <v>194.03</v>
      </c>
      <c r="N39" s="12">
        <f>(Table1[[#This Row],[Quantity]]*Table1[[#This Row],[Unit Price]])*(1-Table1[[#This Row],[Discount]])</f>
        <v>8002.5000000000009</v>
      </c>
      <c r="O39" s="12">
        <f>(Table1[[#This Row],[Unit Price]]-Table1[[#This Row],[Unit Cost]])*Table1[[#This Row],[Quantity]]</f>
        <v>3151.7500000000005</v>
      </c>
      <c r="P39" s="17" t="str">
        <f t="shared" si="0"/>
        <v>Bulk</v>
      </c>
      <c r="Q39" t="str">
        <f>IF(Table1[[#This Row],[Discount]]&gt;=15%,"HIGH",IF(Table1[[#This Row],[Discount]]&gt;=55,"MEDIUM","NONE"))</f>
        <v>NONE</v>
      </c>
      <c r="R39">
        <f>Table1[[#This Row],[Ship Date]]-Table1[[#This Row],[Order Date]]</f>
        <v>5</v>
      </c>
    </row>
    <row r="40" spans="1:18" x14ac:dyDescent="0.25">
      <c r="A40" s="3" t="s">
        <v>159</v>
      </c>
      <c r="B40" s="2" t="s">
        <v>160</v>
      </c>
      <c r="C40" s="2" t="s">
        <v>161</v>
      </c>
      <c r="D40" s="1" t="s">
        <v>30</v>
      </c>
      <c r="E40" s="1" t="s">
        <v>112</v>
      </c>
      <c r="F40" s="1" t="s">
        <v>60</v>
      </c>
      <c r="G40" s="1" t="s">
        <v>67</v>
      </c>
      <c r="H40" s="1" t="s">
        <v>20</v>
      </c>
      <c r="I40" s="1" t="s">
        <v>113</v>
      </c>
      <c r="J40" s="1">
        <v>14</v>
      </c>
      <c r="K40" s="15">
        <v>1069.06</v>
      </c>
      <c r="L40" s="13">
        <v>0.1</v>
      </c>
      <c r="M40" s="10">
        <v>639.95000000000005</v>
      </c>
      <c r="N40" s="12">
        <f>(Table1[[#This Row],[Quantity]]*Table1[[#This Row],[Unit Price]])*(1-Table1[[#This Row],[Discount]])</f>
        <v>13470.156000000001</v>
      </c>
      <c r="O40" s="12">
        <f>(Table1[[#This Row],[Unit Price]]-Table1[[#This Row],[Unit Cost]])*Table1[[#This Row],[Quantity]]</f>
        <v>6007.5399999999991</v>
      </c>
      <c r="P40" s="17" t="str">
        <f t="shared" si="0"/>
        <v>Bulk</v>
      </c>
      <c r="Q40" t="str">
        <f>IF(Table1[[#This Row],[Discount]]&gt;=15%,"HIGH",IF(Table1[[#This Row],[Discount]]&gt;=55,"MEDIUM","NONE"))</f>
        <v>NONE</v>
      </c>
      <c r="R40">
        <f>Table1[[#This Row],[Ship Date]]-Table1[[#This Row],[Order Date]]</f>
        <v>3</v>
      </c>
    </row>
    <row r="41" spans="1:18" x14ac:dyDescent="0.25">
      <c r="A41" s="3" t="s">
        <v>162</v>
      </c>
      <c r="B41" s="2" t="s">
        <v>163</v>
      </c>
      <c r="C41" s="2" t="s">
        <v>164</v>
      </c>
      <c r="D41" s="1" t="s">
        <v>16</v>
      </c>
      <c r="E41" s="1" t="s">
        <v>96</v>
      </c>
      <c r="F41" s="1" t="s">
        <v>43</v>
      </c>
      <c r="G41" s="1" t="s">
        <v>97</v>
      </c>
      <c r="H41" s="1" t="s">
        <v>45</v>
      </c>
      <c r="I41" s="1" t="s">
        <v>68</v>
      </c>
      <c r="J41" s="1">
        <v>6</v>
      </c>
      <c r="K41" s="15">
        <v>655.04</v>
      </c>
      <c r="L41" s="13">
        <v>0.15</v>
      </c>
      <c r="M41" s="10">
        <v>445.09</v>
      </c>
      <c r="N41" s="12">
        <f>(Table1[[#This Row],[Quantity]]*Table1[[#This Row],[Unit Price]])*(1-Table1[[#This Row],[Discount]])</f>
        <v>3340.7039999999997</v>
      </c>
      <c r="O41" s="12">
        <f>(Table1[[#This Row],[Unit Price]]-Table1[[#This Row],[Unit Cost]])*Table1[[#This Row],[Quantity]]</f>
        <v>1259.6999999999998</v>
      </c>
      <c r="P41" s="17" t="str">
        <f t="shared" si="0"/>
        <v>Bulk</v>
      </c>
      <c r="Q41" t="str">
        <f>IF(Table1[[#This Row],[Discount]]&gt;=15%,"HIGH",IF(Table1[[#This Row],[Discount]]&gt;=55,"MEDIUM","NONE"))</f>
        <v>HIGH</v>
      </c>
      <c r="R41">
        <f>Table1[[#This Row],[Ship Date]]-Table1[[#This Row],[Order Date]]</f>
        <v>4</v>
      </c>
    </row>
    <row r="42" spans="1:18" x14ac:dyDescent="0.25">
      <c r="A42" s="3" t="s">
        <v>165</v>
      </c>
      <c r="B42" s="2" t="s">
        <v>166</v>
      </c>
      <c r="C42" s="2" t="s">
        <v>167</v>
      </c>
      <c r="D42" s="1" t="s">
        <v>30</v>
      </c>
      <c r="E42" s="1" t="s">
        <v>71</v>
      </c>
      <c r="F42" s="1" t="s">
        <v>60</v>
      </c>
      <c r="G42" s="1" t="s">
        <v>32</v>
      </c>
      <c r="H42" s="1" t="s">
        <v>61</v>
      </c>
      <c r="I42" s="1" t="s">
        <v>88</v>
      </c>
      <c r="J42" s="1">
        <v>20</v>
      </c>
      <c r="K42" s="15">
        <v>75.2</v>
      </c>
      <c r="L42" s="13">
        <v>0.1</v>
      </c>
      <c r="M42" s="10">
        <v>49.38</v>
      </c>
      <c r="N42" s="12">
        <f>(Table1[[#This Row],[Quantity]]*Table1[[#This Row],[Unit Price]])*(1-Table1[[#This Row],[Discount]])</f>
        <v>1353.6000000000001</v>
      </c>
      <c r="O42" s="12">
        <f>(Table1[[#This Row],[Unit Price]]-Table1[[#This Row],[Unit Cost]])*Table1[[#This Row],[Quantity]]</f>
        <v>516.4</v>
      </c>
      <c r="P42" s="17" t="str">
        <f t="shared" si="0"/>
        <v>Standard</v>
      </c>
      <c r="Q42" t="str">
        <f>IF(Table1[[#This Row],[Discount]]&gt;=15%,"HIGH",IF(Table1[[#This Row],[Discount]]&gt;=55,"MEDIUM","NONE"))</f>
        <v>NONE</v>
      </c>
      <c r="R42">
        <f>Table1[[#This Row],[Ship Date]]-Table1[[#This Row],[Order Date]]</f>
        <v>2</v>
      </c>
    </row>
    <row r="43" spans="1:18" x14ac:dyDescent="0.25">
      <c r="A43" s="3" t="s">
        <v>168</v>
      </c>
      <c r="B43" s="2" t="s">
        <v>95</v>
      </c>
      <c r="C43" s="2" t="s">
        <v>95</v>
      </c>
      <c r="D43" s="1" t="s">
        <v>24</v>
      </c>
      <c r="E43" s="1" t="s">
        <v>37</v>
      </c>
      <c r="F43" s="1" t="s">
        <v>25</v>
      </c>
      <c r="G43" s="1" t="s">
        <v>82</v>
      </c>
      <c r="H43" s="1" t="s">
        <v>61</v>
      </c>
      <c r="I43" s="1" t="s">
        <v>169</v>
      </c>
      <c r="J43" s="1">
        <v>8</v>
      </c>
      <c r="K43" s="15">
        <v>31.97</v>
      </c>
      <c r="L43" s="13">
        <v>0</v>
      </c>
      <c r="M43" s="10">
        <v>23.29</v>
      </c>
      <c r="N43" s="12">
        <f>(Table1[[#This Row],[Quantity]]*Table1[[#This Row],[Unit Price]])*(1-Table1[[#This Row],[Discount]])</f>
        <v>255.76</v>
      </c>
      <c r="O43" s="12">
        <f>(Table1[[#This Row],[Unit Price]]-Table1[[#This Row],[Unit Cost]])*Table1[[#This Row],[Quantity]]</f>
        <v>69.44</v>
      </c>
      <c r="P43" s="17" t="str">
        <f t="shared" si="0"/>
        <v>Bulk</v>
      </c>
      <c r="Q43" t="str">
        <f>IF(Table1[[#This Row],[Discount]]&gt;=15%,"HIGH",IF(Table1[[#This Row],[Discount]]&gt;=55,"MEDIUM","NONE"))</f>
        <v>NONE</v>
      </c>
      <c r="R43">
        <f>Table1[[#This Row],[Ship Date]]-Table1[[#This Row],[Order Date]]</f>
        <v>0</v>
      </c>
    </row>
    <row r="44" spans="1:18" x14ac:dyDescent="0.25">
      <c r="A44" s="3" t="s">
        <v>170</v>
      </c>
      <c r="B44" s="2" t="s">
        <v>171</v>
      </c>
      <c r="C44" s="2" t="s">
        <v>172</v>
      </c>
      <c r="D44" s="1" t="s">
        <v>16</v>
      </c>
      <c r="E44" s="1" t="s">
        <v>59</v>
      </c>
      <c r="F44" s="1" t="s">
        <v>43</v>
      </c>
      <c r="G44" s="1" t="s">
        <v>50</v>
      </c>
      <c r="H44" s="1" t="s">
        <v>33</v>
      </c>
      <c r="I44" s="1" t="s">
        <v>153</v>
      </c>
      <c r="J44" s="1">
        <v>13</v>
      </c>
      <c r="K44" s="15">
        <v>28.37</v>
      </c>
      <c r="L44" s="13">
        <v>0.15</v>
      </c>
      <c r="M44" s="10">
        <v>17.12</v>
      </c>
      <c r="N44" s="12">
        <f>(Table1[[#This Row],[Quantity]]*Table1[[#This Row],[Unit Price]])*(1-Table1[[#This Row],[Discount]])</f>
        <v>313.48849999999999</v>
      </c>
      <c r="O44" s="12">
        <f>(Table1[[#This Row],[Unit Price]]-Table1[[#This Row],[Unit Cost]])*Table1[[#This Row],[Quantity]]</f>
        <v>146.25</v>
      </c>
      <c r="P44" s="17" t="str">
        <f t="shared" si="0"/>
        <v>Standard</v>
      </c>
      <c r="Q44" t="str">
        <f>IF(Table1[[#This Row],[Discount]]&gt;=15%,"HIGH",IF(Table1[[#This Row],[Discount]]&gt;=55,"MEDIUM","NONE"))</f>
        <v>HIGH</v>
      </c>
      <c r="R44">
        <f>Table1[[#This Row],[Ship Date]]-Table1[[#This Row],[Order Date]]</f>
        <v>7</v>
      </c>
    </row>
    <row r="45" spans="1:18" x14ac:dyDescent="0.25">
      <c r="A45" s="3" t="s">
        <v>173</v>
      </c>
      <c r="B45" s="2" t="s">
        <v>174</v>
      </c>
      <c r="C45" s="2" t="s">
        <v>175</v>
      </c>
      <c r="D45" s="1" t="s">
        <v>30</v>
      </c>
      <c r="E45" s="1" t="s">
        <v>87</v>
      </c>
      <c r="F45" s="1" t="s">
        <v>43</v>
      </c>
      <c r="G45" s="1" t="s">
        <v>97</v>
      </c>
      <c r="H45" s="1" t="s">
        <v>61</v>
      </c>
      <c r="I45" s="1" t="s">
        <v>62</v>
      </c>
      <c r="J45" s="1">
        <v>25</v>
      </c>
      <c r="K45" s="15">
        <v>56.73</v>
      </c>
      <c r="L45" s="13">
        <v>0.15</v>
      </c>
      <c r="M45" s="10">
        <v>31.48</v>
      </c>
      <c r="N45" s="12">
        <f>(Table1[[#This Row],[Quantity]]*Table1[[#This Row],[Unit Price]])*(1-Table1[[#This Row],[Discount]])</f>
        <v>1205.5125</v>
      </c>
      <c r="O45" s="12">
        <f>(Table1[[#This Row],[Unit Price]]-Table1[[#This Row],[Unit Cost]])*Table1[[#This Row],[Quantity]]</f>
        <v>631.24999999999989</v>
      </c>
      <c r="P45" s="17" t="str">
        <f t="shared" si="0"/>
        <v>Bulk</v>
      </c>
      <c r="Q45" t="str">
        <f>IF(Table1[[#This Row],[Discount]]&gt;=15%,"HIGH",IF(Table1[[#This Row],[Discount]]&gt;=55,"MEDIUM","NONE"))</f>
        <v>HIGH</v>
      </c>
      <c r="R45">
        <f>Table1[[#This Row],[Ship Date]]-Table1[[#This Row],[Order Date]]</f>
        <v>3</v>
      </c>
    </row>
    <row r="46" spans="1:18" x14ac:dyDescent="0.25">
      <c r="A46" s="3" t="s">
        <v>176</v>
      </c>
      <c r="B46" s="2" t="s">
        <v>177</v>
      </c>
      <c r="C46" s="2" t="s">
        <v>119</v>
      </c>
      <c r="D46" s="1" t="s">
        <v>30</v>
      </c>
      <c r="E46" s="1" t="s">
        <v>31</v>
      </c>
      <c r="F46" s="1" t="s">
        <v>60</v>
      </c>
      <c r="G46" s="1" t="s">
        <v>19</v>
      </c>
      <c r="H46" s="1" t="s">
        <v>33</v>
      </c>
      <c r="I46" s="1" t="s">
        <v>39</v>
      </c>
      <c r="J46" s="1">
        <v>8</v>
      </c>
      <c r="K46" s="15">
        <v>12.37</v>
      </c>
      <c r="L46" s="13">
        <v>0.05</v>
      </c>
      <c r="M46" s="10">
        <v>6.89</v>
      </c>
      <c r="N46" s="12">
        <f>(Table1[[#This Row],[Quantity]]*Table1[[#This Row],[Unit Price]])*(1-Table1[[#This Row],[Discount]])</f>
        <v>94.011999999999986</v>
      </c>
      <c r="O46" s="12">
        <f>(Table1[[#This Row],[Unit Price]]-Table1[[#This Row],[Unit Cost]])*Table1[[#This Row],[Quantity]]</f>
        <v>43.839999999999996</v>
      </c>
      <c r="P46" s="17" t="str">
        <f t="shared" si="0"/>
        <v>Bulk</v>
      </c>
      <c r="Q46" t="str">
        <f>IF(Table1[[#This Row],[Discount]]&gt;=15%,"HIGH",IF(Table1[[#This Row],[Discount]]&gt;=55,"MEDIUM","NONE"))</f>
        <v>NONE</v>
      </c>
      <c r="R46">
        <f>Table1[[#This Row],[Ship Date]]-Table1[[#This Row],[Order Date]]</f>
        <v>3</v>
      </c>
    </row>
    <row r="47" spans="1:18" x14ac:dyDescent="0.25">
      <c r="A47" s="3" t="s">
        <v>178</v>
      </c>
      <c r="B47" s="2" t="s">
        <v>179</v>
      </c>
      <c r="C47" s="2" t="s">
        <v>180</v>
      </c>
      <c r="D47" s="1" t="s">
        <v>30</v>
      </c>
      <c r="E47" s="1" t="s">
        <v>122</v>
      </c>
      <c r="F47" s="1" t="s">
        <v>38</v>
      </c>
      <c r="G47" s="1" t="s">
        <v>26</v>
      </c>
      <c r="H47" s="1" t="s">
        <v>61</v>
      </c>
      <c r="I47" s="1" t="s">
        <v>88</v>
      </c>
      <c r="J47" s="1">
        <v>19</v>
      </c>
      <c r="K47" s="15">
        <v>55.15</v>
      </c>
      <c r="L47" s="13">
        <v>0</v>
      </c>
      <c r="M47" s="10">
        <v>31.49</v>
      </c>
      <c r="N47" s="12">
        <f>(Table1[[#This Row],[Quantity]]*Table1[[#This Row],[Unit Price]])*(1-Table1[[#This Row],[Discount]])</f>
        <v>1047.8499999999999</v>
      </c>
      <c r="O47" s="12">
        <f>(Table1[[#This Row],[Unit Price]]-Table1[[#This Row],[Unit Cost]])*Table1[[#This Row],[Quantity]]</f>
        <v>449.54</v>
      </c>
      <c r="P47" s="17" t="str">
        <f t="shared" si="0"/>
        <v>Standard</v>
      </c>
      <c r="Q47" t="str">
        <f>IF(Table1[[#This Row],[Discount]]&gt;=15%,"HIGH",IF(Table1[[#This Row],[Discount]]&gt;=55,"MEDIUM","NONE"))</f>
        <v>NONE</v>
      </c>
      <c r="R47">
        <f>Table1[[#This Row],[Ship Date]]-Table1[[#This Row],[Order Date]]</f>
        <v>2</v>
      </c>
    </row>
    <row r="48" spans="1:18" x14ac:dyDescent="0.25">
      <c r="A48" s="3" t="s">
        <v>181</v>
      </c>
      <c r="B48" s="2" t="s">
        <v>182</v>
      </c>
      <c r="C48" s="2" t="s">
        <v>183</v>
      </c>
      <c r="D48" s="1" t="s">
        <v>16</v>
      </c>
      <c r="E48" s="1" t="s">
        <v>55</v>
      </c>
      <c r="F48" s="1" t="s">
        <v>18</v>
      </c>
      <c r="G48" s="1" t="s">
        <v>32</v>
      </c>
      <c r="H48" s="1" t="s">
        <v>45</v>
      </c>
      <c r="I48" s="1" t="s">
        <v>46</v>
      </c>
      <c r="J48" s="1">
        <v>15</v>
      </c>
      <c r="K48" s="15">
        <v>301.87</v>
      </c>
      <c r="L48" s="13">
        <v>0.2</v>
      </c>
      <c r="M48" s="10">
        <v>232.41</v>
      </c>
      <c r="N48" s="12">
        <f>(Table1[[#This Row],[Quantity]]*Table1[[#This Row],[Unit Price]])*(1-Table1[[#This Row],[Discount]])</f>
        <v>3622.4400000000005</v>
      </c>
      <c r="O48" s="12">
        <f>(Table1[[#This Row],[Unit Price]]-Table1[[#This Row],[Unit Cost]])*Table1[[#This Row],[Quantity]]</f>
        <v>1041.9000000000001</v>
      </c>
      <c r="P48" s="17" t="str">
        <f t="shared" si="0"/>
        <v>Bulk</v>
      </c>
      <c r="Q48" t="str">
        <f>IF(Table1[[#This Row],[Discount]]&gt;=15%,"HIGH",IF(Table1[[#This Row],[Discount]]&gt;=55,"MEDIUM","NONE"))</f>
        <v>HIGH</v>
      </c>
      <c r="R48">
        <f>Table1[[#This Row],[Ship Date]]-Table1[[#This Row],[Order Date]]</f>
        <v>6</v>
      </c>
    </row>
    <row r="49" spans="1:18" x14ac:dyDescent="0.25">
      <c r="A49" s="3" t="s">
        <v>184</v>
      </c>
      <c r="B49" s="2" t="s">
        <v>185</v>
      </c>
      <c r="C49" s="2" t="s">
        <v>186</v>
      </c>
      <c r="D49" s="1" t="s">
        <v>30</v>
      </c>
      <c r="E49" s="1" t="s">
        <v>122</v>
      </c>
      <c r="F49" s="1" t="s">
        <v>43</v>
      </c>
      <c r="G49" s="1" t="s">
        <v>26</v>
      </c>
      <c r="H49" s="1" t="s">
        <v>20</v>
      </c>
      <c r="I49" s="1" t="s">
        <v>139</v>
      </c>
      <c r="J49" s="1">
        <v>8</v>
      </c>
      <c r="K49" s="15">
        <v>797.67</v>
      </c>
      <c r="L49" s="13">
        <v>0.2</v>
      </c>
      <c r="M49" s="10">
        <v>629.62</v>
      </c>
      <c r="N49" s="12">
        <f>(Table1[[#This Row],[Quantity]]*Table1[[#This Row],[Unit Price]])*(1-Table1[[#This Row],[Discount]])</f>
        <v>5105.0879999999997</v>
      </c>
      <c r="O49" s="12">
        <f>(Table1[[#This Row],[Unit Price]]-Table1[[#This Row],[Unit Cost]])*Table1[[#This Row],[Quantity]]</f>
        <v>1344.3999999999996</v>
      </c>
      <c r="P49" s="17" t="str">
        <f t="shared" si="0"/>
        <v>Bulk</v>
      </c>
      <c r="Q49" t="str">
        <f>IF(Table1[[#This Row],[Discount]]&gt;=15%,"HIGH",IF(Table1[[#This Row],[Discount]]&gt;=55,"MEDIUM","NONE"))</f>
        <v>HIGH</v>
      </c>
      <c r="R49">
        <f>Table1[[#This Row],[Ship Date]]-Table1[[#This Row],[Order Date]]</f>
        <v>2</v>
      </c>
    </row>
    <row r="50" spans="1:18" x14ac:dyDescent="0.25">
      <c r="A50" s="3" t="s">
        <v>187</v>
      </c>
      <c r="B50" s="2" t="s">
        <v>90</v>
      </c>
      <c r="C50" s="2" t="s">
        <v>186</v>
      </c>
      <c r="D50" s="1" t="s">
        <v>16</v>
      </c>
      <c r="E50" s="1" t="s">
        <v>59</v>
      </c>
      <c r="F50" s="1" t="s">
        <v>38</v>
      </c>
      <c r="G50" s="1" t="s">
        <v>19</v>
      </c>
      <c r="H50" s="1" t="s">
        <v>45</v>
      </c>
      <c r="I50" s="1" t="s">
        <v>46</v>
      </c>
      <c r="J50" s="1">
        <v>16</v>
      </c>
      <c r="K50" s="15">
        <v>555.4</v>
      </c>
      <c r="L50" s="13">
        <v>0.1</v>
      </c>
      <c r="M50" s="10">
        <v>437.07</v>
      </c>
      <c r="N50" s="12">
        <f>(Table1[[#This Row],[Quantity]]*Table1[[#This Row],[Unit Price]])*(1-Table1[[#This Row],[Discount]])</f>
        <v>7997.76</v>
      </c>
      <c r="O50" s="12">
        <f>(Table1[[#This Row],[Unit Price]]-Table1[[#This Row],[Unit Cost]])*Table1[[#This Row],[Quantity]]</f>
        <v>1893.2799999999997</v>
      </c>
      <c r="P50" s="17" t="str">
        <f t="shared" si="0"/>
        <v>Standard</v>
      </c>
      <c r="Q50" t="str">
        <f>IF(Table1[[#This Row],[Discount]]&gt;=15%,"HIGH",IF(Table1[[#This Row],[Discount]]&gt;=55,"MEDIUM","NONE"))</f>
        <v>NONE</v>
      </c>
      <c r="R50">
        <f>Table1[[#This Row],[Ship Date]]-Table1[[#This Row],[Order Date]]</f>
        <v>7</v>
      </c>
    </row>
    <row r="51" spans="1:18" x14ac:dyDescent="0.25">
      <c r="A51" s="3" t="s">
        <v>188</v>
      </c>
      <c r="B51" s="2" t="s">
        <v>65</v>
      </c>
      <c r="C51" s="2" t="s">
        <v>189</v>
      </c>
      <c r="D51" s="1" t="s">
        <v>30</v>
      </c>
      <c r="E51" s="1" t="s">
        <v>96</v>
      </c>
      <c r="F51" s="1" t="s">
        <v>38</v>
      </c>
      <c r="G51" s="1" t="s">
        <v>50</v>
      </c>
      <c r="H51" s="1" t="s">
        <v>45</v>
      </c>
      <c r="I51" s="1" t="s">
        <v>83</v>
      </c>
      <c r="J51" s="1">
        <v>4</v>
      </c>
      <c r="K51" s="15">
        <v>488.23</v>
      </c>
      <c r="L51" s="13">
        <v>0</v>
      </c>
      <c r="M51" s="10">
        <v>338.81</v>
      </c>
      <c r="N51" s="12">
        <f>(Table1[[#This Row],[Quantity]]*Table1[[#This Row],[Unit Price]])*(1-Table1[[#This Row],[Discount]])</f>
        <v>1952.92</v>
      </c>
      <c r="O51" s="12">
        <f>(Table1[[#This Row],[Unit Price]]-Table1[[#This Row],[Unit Cost]])*Table1[[#This Row],[Quantity]]</f>
        <v>597.68000000000006</v>
      </c>
      <c r="P51" s="17" t="str">
        <f t="shared" si="0"/>
        <v>Bulk</v>
      </c>
      <c r="Q51" t="str">
        <f>IF(Table1[[#This Row],[Discount]]&gt;=15%,"HIGH",IF(Table1[[#This Row],[Discount]]&gt;=55,"MEDIUM","NONE"))</f>
        <v>NONE</v>
      </c>
      <c r="R51">
        <f>Table1[[#This Row],[Ship Date]]-Table1[[#This Row],[Order Date]]</f>
        <v>3</v>
      </c>
    </row>
    <row r="52" spans="1:18" x14ac:dyDescent="0.25">
      <c r="A52" s="3" t="s">
        <v>190</v>
      </c>
      <c r="B52" s="2" t="s">
        <v>191</v>
      </c>
      <c r="C52" s="2" t="s">
        <v>191</v>
      </c>
      <c r="D52" s="1" t="s">
        <v>24</v>
      </c>
      <c r="E52" s="1" t="s">
        <v>96</v>
      </c>
      <c r="F52" s="1" t="s">
        <v>25</v>
      </c>
      <c r="G52" s="1" t="s">
        <v>44</v>
      </c>
      <c r="H52" s="1" t="s">
        <v>20</v>
      </c>
      <c r="I52" s="1" t="s">
        <v>192</v>
      </c>
      <c r="J52" s="1">
        <v>20</v>
      </c>
      <c r="K52" s="15">
        <v>976.36</v>
      </c>
      <c r="L52" s="13">
        <v>0.2</v>
      </c>
      <c r="M52" s="10">
        <v>777.14</v>
      </c>
      <c r="N52" s="12">
        <f>(Table1[[#This Row],[Quantity]]*Table1[[#This Row],[Unit Price]])*(1-Table1[[#This Row],[Discount]])</f>
        <v>15621.760000000002</v>
      </c>
      <c r="O52" s="12">
        <f>(Table1[[#This Row],[Unit Price]]-Table1[[#This Row],[Unit Cost]])*Table1[[#This Row],[Quantity]]</f>
        <v>3984.4000000000005</v>
      </c>
      <c r="P52" s="17" t="str">
        <f t="shared" si="0"/>
        <v>Standard</v>
      </c>
      <c r="Q52" t="str">
        <f>IF(Table1[[#This Row],[Discount]]&gt;=15%,"HIGH",IF(Table1[[#This Row],[Discount]]&gt;=55,"MEDIUM","NONE"))</f>
        <v>HIGH</v>
      </c>
      <c r="R52">
        <f>Table1[[#This Row],[Ship Date]]-Table1[[#This Row],[Order Date]]</f>
        <v>0</v>
      </c>
    </row>
    <row r="53" spans="1:18" x14ac:dyDescent="0.25">
      <c r="A53" s="3" t="s">
        <v>193</v>
      </c>
      <c r="B53" s="2" t="s">
        <v>194</v>
      </c>
      <c r="C53" s="2" t="s">
        <v>195</v>
      </c>
      <c r="D53" s="1" t="s">
        <v>16</v>
      </c>
      <c r="E53" s="1" t="s">
        <v>71</v>
      </c>
      <c r="F53" s="1" t="s">
        <v>43</v>
      </c>
      <c r="G53" s="1" t="s">
        <v>32</v>
      </c>
      <c r="H53" s="1" t="s">
        <v>61</v>
      </c>
      <c r="I53" s="1" t="s">
        <v>169</v>
      </c>
      <c r="J53" s="1">
        <v>14</v>
      </c>
      <c r="K53" s="15">
        <v>75.790000000000006</v>
      </c>
      <c r="L53" s="13">
        <v>0</v>
      </c>
      <c r="M53" s="10">
        <v>49.9</v>
      </c>
      <c r="N53" s="12">
        <f>(Table1[[#This Row],[Quantity]]*Table1[[#This Row],[Unit Price]])*(1-Table1[[#This Row],[Discount]])</f>
        <v>1061.0600000000002</v>
      </c>
      <c r="O53" s="12">
        <f>(Table1[[#This Row],[Unit Price]]-Table1[[#This Row],[Unit Cost]])*Table1[[#This Row],[Quantity]]</f>
        <v>362.46000000000009</v>
      </c>
      <c r="P53" s="17" t="str">
        <f t="shared" si="0"/>
        <v>Bulk</v>
      </c>
      <c r="Q53" t="str">
        <f>IF(Table1[[#This Row],[Discount]]&gt;=15%,"HIGH",IF(Table1[[#This Row],[Discount]]&gt;=55,"MEDIUM","NONE"))</f>
        <v>NONE</v>
      </c>
      <c r="R53">
        <f>Table1[[#This Row],[Ship Date]]-Table1[[#This Row],[Order Date]]</f>
        <v>6</v>
      </c>
    </row>
    <row r="54" spans="1:18" x14ac:dyDescent="0.25">
      <c r="A54" s="3" t="s">
        <v>196</v>
      </c>
      <c r="B54" s="2" t="s">
        <v>197</v>
      </c>
      <c r="C54" s="2" t="s">
        <v>197</v>
      </c>
      <c r="D54" s="1" t="s">
        <v>24</v>
      </c>
      <c r="E54" s="1" t="s">
        <v>71</v>
      </c>
      <c r="F54" s="1" t="s">
        <v>25</v>
      </c>
      <c r="G54" s="1" t="s">
        <v>44</v>
      </c>
      <c r="H54" s="1" t="s">
        <v>45</v>
      </c>
      <c r="I54" s="1" t="s">
        <v>143</v>
      </c>
      <c r="J54" s="1">
        <v>18</v>
      </c>
      <c r="K54" s="15">
        <v>633.23</v>
      </c>
      <c r="L54" s="13">
        <v>0.05</v>
      </c>
      <c r="M54" s="10">
        <v>417.23</v>
      </c>
      <c r="N54" s="12">
        <f>(Table1[[#This Row],[Quantity]]*Table1[[#This Row],[Unit Price]])*(1-Table1[[#This Row],[Discount]])</f>
        <v>10828.232999999998</v>
      </c>
      <c r="O54" s="12">
        <f>(Table1[[#This Row],[Unit Price]]-Table1[[#This Row],[Unit Cost]])*Table1[[#This Row],[Quantity]]</f>
        <v>3888</v>
      </c>
      <c r="P54" s="17" t="str">
        <f t="shared" si="0"/>
        <v>Bulk</v>
      </c>
      <c r="Q54" t="str">
        <f>IF(Table1[[#This Row],[Discount]]&gt;=15%,"HIGH",IF(Table1[[#This Row],[Discount]]&gt;=55,"MEDIUM","NONE"))</f>
        <v>NONE</v>
      </c>
      <c r="R54">
        <f>Table1[[#This Row],[Ship Date]]-Table1[[#This Row],[Order Date]]</f>
        <v>0</v>
      </c>
    </row>
    <row r="55" spans="1:18" x14ac:dyDescent="0.25">
      <c r="A55" s="3" t="s">
        <v>198</v>
      </c>
      <c r="B55" s="2" t="s">
        <v>199</v>
      </c>
      <c r="C55" s="2" t="s">
        <v>199</v>
      </c>
      <c r="D55" s="1" t="s">
        <v>24</v>
      </c>
      <c r="E55" s="1" t="s">
        <v>17</v>
      </c>
      <c r="F55" s="1" t="s">
        <v>60</v>
      </c>
      <c r="G55" s="1" t="s">
        <v>82</v>
      </c>
      <c r="H55" s="1" t="s">
        <v>20</v>
      </c>
      <c r="I55" s="1" t="s">
        <v>134</v>
      </c>
      <c r="J55" s="1">
        <v>20</v>
      </c>
      <c r="K55" s="15">
        <v>818.42</v>
      </c>
      <c r="L55" s="13">
        <v>0</v>
      </c>
      <c r="M55" s="10">
        <v>456</v>
      </c>
      <c r="N55" s="12">
        <f>(Table1[[#This Row],[Quantity]]*Table1[[#This Row],[Unit Price]])*(1-Table1[[#This Row],[Discount]])</f>
        <v>16368.4</v>
      </c>
      <c r="O55" s="12">
        <f>(Table1[[#This Row],[Unit Price]]-Table1[[#This Row],[Unit Cost]])*Table1[[#This Row],[Quantity]]</f>
        <v>7248.4</v>
      </c>
      <c r="P55" s="17" t="str">
        <f t="shared" si="0"/>
        <v>Bulk</v>
      </c>
      <c r="Q55" t="str">
        <f>IF(Table1[[#This Row],[Discount]]&gt;=15%,"HIGH",IF(Table1[[#This Row],[Discount]]&gt;=55,"MEDIUM","NONE"))</f>
        <v>NONE</v>
      </c>
      <c r="R55">
        <f>Table1[[#This Row],[Ship Date]]-Table1[[#This Row],[Order Date]]</f>
        <v>0</v>
      </c>
    </row>
    <row r="56" spans="1:18" x14ac:dyDescent="0.25">
      <c r="A56" s="3" t="s">
        <v>200</v>
      </c>
      <c r="B56" s="2" t="s">
        <v>201</v>
      </c>
      <c r="C56" s="2" t="s">
        <v>201</v>
      </c>
      <c r="D56" s="1" t="s">
        <v>24</v>
      </c>
      <c r="E56" s="1" t="s">
        <v>117</v>
      </c>
      <c r="F56" s="1" t="s">
        <v>18</v>
      </c>
      <c r="G56" s="1" t="s">
        <v>44</v>
      </c>
      <c r="H56" s="1" t="s">
        <v>45</v>
      </c>
      <c r="I56" s="1" t="s">
        <v>148</v>
      </c>
      <c r="J56" s="1">
        <v>23</v>
      </c>
      <c r="K56" s="15">
        <v>711.28</v>
      </c>
      <c r="L56" s="13">
        <v>0.1</v>
      </c>
      <c r="M56" s="10">
        <v>393.01</v>
      </c>
      <c r="N56" s="12">
        <f>(Table1[[#This Row],[Quantity]]*Table1[[#This Row],[Unit Price]])*(1-Table1[[#This Row],[Discount]])</f>
        <v>14723.495999999999</v>
      </c>
      <c r="O56" s="12">
        <f>(Table1[[#This Row],[Unit Price]]-Table1[[#This Row],[Unit Cost]])*Table1[[#This Row],[Quantity]]</f>
        <v>7320.2099999999991</v>
      </c>
      <c r="P56" s="17" t="str">
        <f t="shared" si="0"/>
        <v>Bulk</v>
      </c>
      <c r="Q56" t="str">
        <f>IF(Table1[[#This Row],[Discount]]&gt;=15%,"HIGH",IF(Table1[[#This Row],[Discount]]&gt;=55,"MEDIUM","NONE"))</f>
        <v>NONE</v>
      </c>
      <c r="R56">
        <f>Table1[[#This Row],[Ship Date]]-Table1[[#This Row],[Order Date]]</f>
        <v>0</v>
      </c>
    </row>
    <row r="57" spans="1:18" x14ac:dyDescent="0.25">
      <c r="A57" s="3" t="s">
        <v>202</v>
      </c>
      <c r="B57" s="2" t="s">
        <v>203</v>
      </c>
      <c r="C57" s="2" t="s">
        <v>203</v>
      </c>
      <c r="D57" s="1" t="s">
        <v>24</v>
      </c>
      <c r="E57" s="1" t="s">
        <v>17</v>
      </c>
      <c r="F57" s="1" t="s">
        <v>38</v>
      </c>
      <c r="G57" s="1" t="s">
        <v>82</v>
      </c>
      <c r="H57" s="1" t="s">
        <v>61</v>
      </c>
      <c r="I57" s="1" t="s">
        <v>62</v>
      </c>
      <c r="J57" s="1">
        <v>23</v>
      </c>
      <c r="K57" s="15">
        <v>49.27</v>
      </c>
      <c r="L57" s="13">
        <v>0.2</v>
      </c>
      <c r="M57" s="10">
        <v>27.31</v>
      </c>
      <c r="N57" s="12">
        <f>(Table1[[#This Row],[Quantity]]*Table1[[#This Row],[Unit Price]])*(1-Table1[[#This Row],[Discount]])</f>
        <v>906.5680000000001</v>
      </c>
      <c r="O57" s="12">
        <f>(Table1[[#This Row],[Unit Price]]-Table1[[#This Row],[Unit Cost]])*Table1[[#This Row],[Quantity]]</f>
        <v>505.0800000000001</v>
      </c>
      <c r="P57" s="17" t="str">
        <f t="shared" si="0"/>
        <v>Bulk</v>
      </c>
      <c r="Q57" t="str">
        <f>IF(Table1[[#This Row],[Discount]]&gt;=15%,"HIGH",IF(Table1[[#This Row],[Discount]]&gt;=55,"MEDIUM","NONE"))</f>
        <v>HIGH</v>
      </c>
      <c r="R57">
        <f>Table1[[#This Row],[Ship Date]]-Table1[[#This Row],[Order Date]]</f>
        <v>0</v>
      </c>
    </row>
    <row r="58" spans="1:18" x14ac:dyDescent="0.25">
      <c r="A58" s="3" t="s">
        <v>204</v>
      </c>
      <c r="B58" s="2" t="s">
        <v>205</v>
      </c>
      <c r="C58" s="2" t="s">
        <v>205</v>
      </c>
      <c r="D58" s="1" t="s">
        <v>24</v>
      </c>
      <c r="E58" s="1" t="s">
        <v>206</v>
      </c>
      <c r="F58" s="1" t="s">
        <v>38</v>
      </c>
      <c r="G58" s="1" t="s">
        <v>82</v>
      </c>
      <c r="H58" s="1" t="s">
        <v>45</v>
      </c>
      <c r="I58" s="1" t="s">
        <v>148</v>
      </c>
      <c r="J58" s="1">
        <v>17</v>
      </c>
      <c r="K58" s="15">
        <v>314.38</v>
      </c>
      <c r="L58" s="13">
        <v>0.15</v>
      </c>
      <c r="M58" s="10">
        <v>216.17</v>
      </c>
      <c r="N58" s="12">
        <f>(Table1[[#This Row],[Quantity]]*Table1[[#This Row],[Unit Price]])*(1-Table1[[#This Row],[Discount]])</f>
        <v>4542.7910000000002</v>
      </c>
      <c r="O58" s="12">
        <f>(Table1[[#This Row],[Unit Price]]-Table1[[#This Row],[Unit Cost]])*Table1[[#This Row],[Quantity]]</f>
        <v>1669.5700000000002</v>
      </c>
      <c r="P58" s="17" t="str">
        <f t="shared" si="0"/>
        <v>Bulk</v>
      </c>
      <c r="Q58" t="str">
        <f>IF(Table1[[#This Row],[Discount]]&gt;=15%,"HIGH",IF(Table1[[#This Row],[Discount]]&gt;=55,"MEDIUM","NONE"))</f>
        <v>HIGH</v>
      </c>
      <c r="R58">
        <f>Table1[[#This Row],[Ship Date]]-Table1[[#This Row],[Order Date]]</f>
        <v>0</v>
      </c>
    </row>
    <row r="59" spans="1:18" x14ac:dyDescent="0.25">
      <c r="A59" s="3" t="s">
        <v>207</v>
      </c>
      <c r="B59" s="2" t="s">
        <v>208</v>
      </c>
      <c r="C59" s="2" t="s">
        <v>209</v>
      </c>
      <c r="D59" s="1" t="s">
        <v>30</v>
      </c>
      <c r="E59" s="1" t="s">
        <v>96</v>
      </c>
      <c r="F59" s="1" t="s">
        <v>25</v>
      </c>
      <c r="G59" s="1" t="s">
        <v>19</v>
      </c>
      <c r="H59" s="1" t="s">
        <v>33</v>
      </c>
      <c r="I59" s="1" t="s">
        <v>39</v>
      </c>
      <c r="J59" s="1">
        <v>4</v>
      </c>
      <c r="K59" s="15">
        <v>30.23</v>
      </c>
      <c r="L59" s="13">
        <v>0.2</v>
      </c>
      <c r="M59" s="10">
        <v>21.84</v>
      </c>
      <c r="N59" s="12">
        <f>(Table1[[#This Row],[Quantity]]*Table1[[#This Row],[Unit Price]])*(1-Table1[[#This Row],[Discount]])</f>
        <v>96.736000000000004</v>
      </c>
      <c r="O59" s="12">
        <f>(Table1[[#This Row],[Unit Price]]-Table1[[#This Row],[Unit Cost]])*Table1[[#This Row],[Quantity]]</f>
        <v>33.56</v>
      </c>
      <c r="P59" s="17" t="str">
        <f t="shared" si="0"/>
        <v>Bulk</v>
      </c>
      <c r="Q59" t="str">
        <f>IF(Table1[[#This Row],[Discount]]&gt;=15%,"HIGH",IF(Table1[[#This Row],[Discount]]&gt;=55,"MEDIUM","NONE"))</f>
        <v>HIGH</v>
      </c>
      <c r="R59">
        <f>Table1[[#This Row],[Ship Date]]-Table1[[#This Row],[Order Date]]</f>
        <v>2</v>
      </c>
    </row>
    <row r="60" spans="1:18" x14ac:dyDescent="0.25">
      <c r="A60" s="3" t="s">
        <v>210</v>
      </c>
      <c r="B60" s="2" t="s">
        <v>211</v>
      </c>
      <c r="C60" s="2" t="s">
        <v>201</v>
      </c>
      <c r="D60" s="1" t="s">
        <v>16</v>
      </c>
      <c r="E60" s="1" t="s">
        <v>112</v>
      </c>
      <c r="F60" s="1" t="s">
        <v>38</v>
      </c>
      <c r="G60" s="1" t="s">
        <v>44</v>
      </c>
      <c r="H60" s="1" t="s">
        <v>33</v>
      </c>
      <c r="I60" s="1" t="s">
        <v>153</v>
      </c>
      <c r="J60" s="1">
        <v>7</v>
      </c>
      <c r="K60" s="15">
        <v>13.26</v>
      </c>
      <c r="L60" s="13">
        <v>0</v>
      </c>
      <c r="M60" s="10">
        <v>7.89</v>
      </c>
      <c r="N60" s="12">
        <f>(Table1[[#This Row],[Quantity]]*Table1[[#This Row],[Unit Price]])*(1-Table1[[#This Row],[Discount]])</f>
        <v>92.82</v>
      </c>
      <c r="O60" s="12">
        <f>(Table1[[#This Row],[Unit Price]]-Table1[[#This Row],[Unit Cost]])*Table1[[#This Row],[Quantity]]</f>
        <v>37.590000000000003</v>
      </c>
      <c r="P60" s="17" t="str">
        <f t="shared" si="0"/>
        <v>Standard</v>
      </c>
      <c r="Q60" t="str">
        <f>IF(Table1[[#This Row],[Discount]]&gt;=15%,"HIGH",IF(Table1[[#This Row],[Discount]]&gt;=55,"MEDIUM","NONE"))</f>
        <v>NONE</v>
      </c>
      <c r="R60">
        <f>Table1[[#This Row],[Ship Date]]-Table1[[#This Row],[Order Date]]</f>
        <v>4</v>
      </c>
    </row>
    <row r="61" spans="1:18" x14ac:dyDescent="0.25">
      <c r="A61" s="3" t="s">
        <v>212</v>
      </c>
      <c r="B61" s="2" t="s">
        <v>213</v>
      </c>
      <c r="C61" s="2" t="s">
        <v>213</v>
      </c>
      <c r="D61" s="1" t="s">
        <v>24</v>
      </c>
      <c r="E61" s="1" t="s">
        <v>214</v>
      </c>
      <c r="F61" s="1" t="s">
        <v>38</v>
      </c>
      <c r="G61" s="1" t="s">
        <v>50</v>
      </c>
      <c r="H61" s="1" t="s">
        <v>20</v>
      </c>
      <c r="I61" s="1" t="s">
        <v>21</v>
      </c>
      <c r="J61" s="1">
        <v>25</v>
      </c>
      <c r="K61" s="15">
        <v>614.51</v>
      </c>
      <c r="L61" s="13">
        <v>0.2</v>
      </c>
      <c r="M61" s="10">
        <v>339.86</v>
      </c>
      <c r="N61" s="12">
        <f>(Table1[[#This Row],[Quantity]]*Table1[[#This Row],[Unit Price]])*(1-Table1[[#This Row],[Discount]])</f>
        <v>12290.2</v>
      </c>
      <c r="O61" s="12">
        <f>(Table1[[#This Row],[Unit Price]]-Table1[[#This Row],[Unit Cost]])*Table1[[#This Row],[Quantity]]</f>
        <v>6866.2499999999991</v>
      </c>
      <c r="P61" s="17" t="str">
        <f t="shared" si="0"/>
        <v>Standard</v>
      </c>
      <c r="Q61" t="str">
        <f>IF(Table1[[#This Row],[Discount]]&gt;=15%,"HIGH",IF(Table1[[#This Row],[Discount]]&gt;=55,"MEDIUM","NONE"))</f>
        <v>HIGH</v>
      </c>
      <c r="R61">
        <f>Table1[[#This Row],[Ship Date]]-Table1[[#This Row],[Order Date]]</f>
        <v>0</v>
      </c>
    </row>
    <row r="62" spans="1:18" x14ac:dyDescent="0.25">
      <c r="A62" s="3" t="s">
        <v>215</v>
      </c>
      <c r="B62" s="2" t="s">
        <v>216</v>
      </c>
      <c r="C62" s="2" t="s">
        <v>217</v>
      </c>
      <c r="D62" s="1" t="s">
        <v>30</v>
      </c>
      <c r="E62" s="1" t="s">
        <v>133</v>
      </c>
      <c r="F62" s="1" t="s">
        <v>25</v>
      </c>
      <c r="G62" s="1" t="s">
        <v>44</v>
      </c>
      <c r="H62" s="1" t="s">
        <v>61</v>
      </c>
      <c r="I62" s="1" t="s">
        <v>169</v>
      </c>
      <c r="J62" s="1">
        <v>4</v>
      </c>
      <c r="K62" s="15">
        <v>75.77</v>
      </c>
      <c r="L62" s="13">
        <v>0.05</v>
      </c>
      <c r="M62" s="10">
        <v>50.99</v>
      </c>
      <c r="N62" s="12">
        <f>(Table1[[#This Row],[Quantity]]*Table1[[#This Row],[Unit Price]])*(1-Table1[[#This Row],[Discount]])</f>
        <v>287.92599999999999</v>
      </c>
      <c r="O62" s="12">
        <f>(Table1[[#This Row],[Unit Price]]-Table1[[#This Row],[Unit Cost]])*Table1[[#This Row],[Quantity]]</f>
        <v>99.119999999999976</v>
      </c>
      <c r="P62" s="17" t="str">
        <f t="shared" si="0"/>
        <v>Bulk</v>
      </c>
      <c r="Q62" t="str">
        <f>IF(Table1[[#This Row],[Discount]]&gt;=15%,"HIGH",IF(Table1[[#This Row],[Discount]]&gt;=55,"MEDIUM","NONE"))</f>
        <v>NONE</v>
      </c>
      <c r="R62">
        <f>Table1[[#This Row],[Ship Date]]-Table1[[#This Row],[Order Date]]</f>
        <v>2</v>
      </c>
    </row>
    <row r="63" spans="1:18" x14ac:dyDescent="0.25">
      <c r="A63" s="3" t="s">
        <v>218</v>
      </c>
      <c r="B63" s="2" t="s">
        <v>219</v>
      </c>
      <c r="C63" s="2" t="s">
        <v>219</v>
      </c>
      <c r="D63" s="1" t="s">
        <v>24</v>
      </c>
      <c r="E63" s="1" t="s">
        <v>96</v>
      </c>
      <c r="F63" s="1" t="s">
        <v>25</v>
      </c>
      <c r="G63" s="1" t="s">
        <v>97</v>
      </c>
      <c r="H63" s="1" t="s">
        <v>33</v>
      </c>
      <c r="I63" s="1" t="s">
        <v>34</v>
      </c>
      <c r="J63" s="1">
        <v>20</v>
      </c>
      <c r="K63" s="15">
        <v>32.049999999999997</v>
      </c>
      <c r="L63" s="13">
        <v>0</v>
      </c>
      <c r="M63" s="10">
        <v>23.84</v>
      </c>
      <c r="N63" s="12">
        <f>(Table1[[#This Row],[Quantity]]*Table1[[#This Row],[Unit Price]])*(1-Table1[[#This Row],[Discount]])</f>
        <v>641</v>
      </c>
      <c r="O63" s="12">
        <f>(Table1[[#This Row],[Unit Price]]-Table1[[#This Row],[Unit Cost]])*Table1[[#This Row],[Quantity]]</f>
        <v>164.19999999999993</v>
      </c>
      <c r="P63" s="17" t="str">
        <f t="shared" si="0"/>
        <v>Standard</v>
      </c>
      <c r="Q63" t="str">
        <f>IF(Table1[[#This Row],[Discount]]&gt;=15%,"HIGH",IF(Table1[[#This Row],[Discount]]&gt;=55,"MEDIUM","NONE"))</f>
        <v>NONE</v>
      </c>
      <c r="R63">
        <f>Table1[[#This Row],[Ship Date]]-Table1[[#This Row],[Order Date]]</f>
        <v>0</v>
      </c>
    </row>
    <row r="64" spans="1:18" x14ac:dyDescent="0.25">
      <c r="A64" s="3" t="s">
        <v>220</v>
      </c>
      <c r="B64" s="2" t="s">
        <v>101</v>
      </c>
      <c r="C64" s="2" t="s">
        <v>101</v>
      </c>
      <c r="D64" s="1" t="s">
        <v>24</v>
      </c>
      <c r="E64" s="1" t="s">
        <v>214</v>
      </c>
      <c r="F64" s="1" t="s">
        <v>60</v>
      </c>
      <c r="G64" s="1" t="s">
        <v>26</v>
      </c>
      <c r="H64" s="1" t="s">
        <v>33</v>
      </c>
      <c r="I64" s="1" t="s">
        <v>153</v>
      </c>
      <c r="J64" s="1">
        <v>24</v>
      </c>
      <c r="K64" s="15">
        <v>5.77</v>
      </c>
      <c r="L64" s="13">
        <v>0.2</v>
      </c>
      <c r="M64" s="10">
        <v>3.47</v>
      </c>
      <c r="N64" s="12">
        <f>(Table1[[#This Row],[Quantity]]*Table1[[#This Row],[Unit Price]])*(1-Table1[[#This Row],[Discount]])</f>
        <v>110.78399999999999</v>
      </c>
      <c r="O64" s="12">
        <f>(Table1[[#This Row],[Unit Price]]-Table1[[#This Row],[Unit Cost]])*Table1[[#This Row],[Quantity]]</f>
        <v>55.199999999999989</v>
      </c>
      <c r="P64" s="17" t="str">
        <f t="shared" si="0"/>
        <v>Bulk</v>
      </c>
      <c r="Q64" t="str">
        <f>IF(Table1[[#This Row],[Discount]]&gt;=15%,"HIGH",IF(Table1[[#This Row],[Discount]]&gt;=55,"MEDIUM","NONE"))</f>
        <v>HIGH</v>
      </c>
      <c r="R64">
        <f>Table1[[#This Row],[Ship Date]]-Table1[[#This Row],[Order Date]]</f>
        <v>0</v>
      </c>
    </row>
    <row r="65" spans="1:18" x14ac:dyDescent="0.25">
      <c r="A65" s="3" t="s">
        <v>221</v>
      </c>
      <c r="B65" s="2" t="s">
        <v>222</v>
      </c>
      <c r="C65" s="2" t="s">
        <v>223</v>
      </c>
      <c r="D65" s="1" t="s">
        <v>16</v>
      </c>
      <c r="E65" s="1" t="s">
        <v>78</v>
      </c>
      <c r="F65" s="1" t="s">
        <v>25</v>
      </c>
      <c r="G65" s="1" t="s">
        <v>67</v>
      </c>
      <c r="H65" s="1" t="s">
        <v>20</v>
      </c>
      <c r="I65" s="1" t="s">
        <v>113</v>
      </c>
      <c r="J65" s="1">
        <v>1</v>
      </c>
      <c r="K65" s="15">
        <v>519.79999999999995</v>
      </c>
      <c r="L65" s="13">
        <v>0.15</v>
      </c>
      <c r="M65" s="10">
        <v>363.06</v>
      </c>
      <c r="N65" s="12">
        <f>(Table1[[#This Row],[Quantity]]*Table1[[#This Row],[Unit Price]])*(1-Table1[[#This Row],[Discount]])</f>
        <v>441.82999999999993</v>
      </c>
      <c r="O65" s="12">
        <f>(Table1[[#This Row],[Unit Price]]-Table1[[#This Row],[Unit Cost]])*Table1[[#This Row],[Quantity]]</f>
        <v>156.73999999999995</v>
      </c>
      <c r="P65" s="17" t="str">
        <f t="shared" si="0"/>
        <v>Bulk</v>
      </c>
      <c r="Q65" t="str">
        <f>IF(Table1[[#This Row],[Discount]]&gt;=15%,"HIGH",IF(Table1[[#This Row],[Discount]]&gt;=55,"MEDIUM","NONE"))</f>
        <v>HIGH</v>
      </c>
      <c r="R65">
        <f>Table1[[#This Row],[Ship Date]]-Table1[[#This Row],[Order Date]]</f>
        <v>6</v>
      </c>
    </row>
    <row r="66" spans="1:18" x14ac:dyDescent="0.25">
      <c r="A66" s="3" t="s">
        <v>224</v>
      </c>
      <c r="B66" s="2" t="s">
        <v>225</v>
      </c>
      <c r="C66" s="2" t="s">
        <v>226</v>
      </c>
      <c r="D66" s="1" t="s">
        <v>30</v>
      </c>
      <c r="E66" s="1" t="s">
        <v>49</v>
      </c>
      <c r="F66" s="1" t="s">
        <v>60</v>
      </c>
      <c r="G66" s="1" t="s">
        <v>19</v>
      </c>
      <c r="H66" s="1" t="s">
        <v>33</v>
      </c>
      <c r="I66" s="1" t="s">
        <v>39</v>
      </c>
      <c r="J66" s="1">
        <v>21</v>
      </c>
      <c r="K66" s="15">
        <v>24.41</v>
      </c>
      <c r="L66" s="13">
        <v>0.2</v>
      </c>
      <c r="M66" s="10">
        <v>19.12</v>
      </c>
      <c r="N66" s="12">
        <f>(Table1[[#This Row],[Quantity]]*Table1[[#This Row],[Unit Price]])*(1-Table1[[#This Row],[Discount]])</f>
        <v>410.08800000000002</v>
      </c>
      <c r="O66" s="12">
        <f>(Table1[[#This Row],[Unit Price]]-Table1[[#This Row],[Unit Cost]])*Table1[[#This Row],[Quantity]]</f>
        <v>111.08999999999997</v>
      </c>
      <c r="P66" s="17" t="str">
        <f t="shared" ref="P66:P129" si="1">IF(J65&gt;10,"Bulk","Standard")</f>
        <v>Standard</v>
      </c>
      <c r="Q66" t="str">
        <f>IF(Table1[[#This Row],[Discount]]&gt;=15%,"HIGH",IF(Table1[[#This Row],[Discount]]&gt;=55,"MEDIUM","NONE"))</f>
        <v>HIGH</v>
      </c>
      <c r="R66">
        <f>Table1[[#This Row],[Ship Date]]-Table1[[#This Row],[Order Date]]</f>
        <v>2</v>
      </c>
    </row>
    <row r="67" spans="1:18" x14ac:dyDescent="0.25">
      <c r="A67" s="3" t="s">
        <v>227</v>
      </c>
      <c r="B67" s="2" t="s">
        <v>228</v>
      </c>
      <c r="C67" s="2" t="s">
        <v>229</v>
      </c>
      <c r="D67" s="1" t="s">
        <v>16</v>
      </c>
      <c r="E67" s="1" t="s">
        <v>59</v>
      </c>
      <c r="F67" s="1" t="s">
        <v>18</v>
      </c>
      <c r="G67" s="1" t="s">
        <v>67</v>
      </c>
      <c r="H67" s="1" t="s">
        <v>45</v>
      </c>
      <c r="I67" s="1" t="s">
        <v>68</v>
      </c>
      <c r="J67" s="1">
        <v>6</v>
      </c>
      <c r="K67" s="15">
        <v>646.54999999999995</v>
      </c>
      <c r="L67" s="13">
        <v>0.1</v>
      </c>
      <c r="M67" s="10">
        <v>476.66</v>
      </c>
      <c r="N67" s="12">
        <f>(Table1[[#This Row],[Quantity]]*Table1[[#This Row],[Unit Price]])*(1-Table1[[#This Row],[Discount]])</f>
        <v>3491.37</v>
      </c>
      <c r="O67" s="12">
        <f>(Table1[[#This Row],[Unit Price]]-Table1[[#This Row],[Unit Cost]])*Table1[[#This Row],[Quantity]]</f>
        <v>1019.3399999999996</v>
      </c>
      <c r="P67" s="17" t="str">
        <f t="shared" si="1"/>
        <v>Bulk</v>
      </c>
      <c r="Q67" t="str">
        <f>IF(Table1[[#This Row],[Discount]]&gt;=15%,"HIGH",IF(Table1[[#This Row],[Discount]]&gt;=55,"MEDIUM","NONE"))</f>
        <v>NONE</v>
      </c>
      <c r="R67">
        <f>Table1[[#This Row],[Ship Date]]-Table1[[#This Row],[Order Date]]</f>
        <v>6</v>
      </c>
    </row>
    <row r="68" spans="1:18" x14ac:dyDescent="0.25">
      <c r="A68" s="3" t="s">
        <v>230</v>
      </c>
      <c r="B68" s="2" t="s">
        <v>231</v>
      </c>
      <c r="C68" s="2" t="s">
        <v>232</v>
      </c>
      <c r="D68" s="1" t="s">
        <v>30</v>
      </c>
      <c r="E68" s="1" t="s">
        <v>37</v>
      </c>
      <c r="F68" s="1" t="s">
        <v>60</v>
      </c>
      <c r="G68" s="1" t="s">
        <v>82</v>
      </c>
      <c r="H68" s="1" t="s">
        <v>61</v>
      </c>
      <c r="I68" s="1" t="s">
        <v>169</v>
      </c>
      <c r="J68" s="1">
        <v>3</v>
      </c>
      <c r="K68" s="15">
        <v>57.84</v>
      </c>
      <c r="L68" s="13">
        <v>0.05</v>
      </c>
      <c r="M68" s="10">
        <v>42.43</v>
      </c>
      <c r="N68" s="12">
        <f>(Table1[[#This Row],[Quantity]]*Table1[[#This Row],[Unit Price]])*(1-Table1[[#This Row],[Discount]])</f>
        <v>164.84399999999999</v>
      </c>
      <c r="O68" s="12">
        <f>(Table1[[#This Row],[Unit Price]]-Table1[[#This Row],[Unit Cost]])*Table1[[#This Row],[Quantity]]</f>
        <v>46.230000000000011</v>
      </c>
      <c r="P68" s="17" t="str">
        <f t="shared" si="1"/>
        <v>Standard</v>
      </c>
      <c r="Q68" t="str">
        <f>IF(Table1[[#This Row],[Discount]]&gt;=15%,"HIGH",IF(Table1[[#This Row],[Discount]]&gt;=55,"MEDIUM","NONE"))</f>
        <v>NONE</v>
      </c>
      <c r="R68">
        <f>Table1[[#This Row],[Ship Date]]-Table1[[#This Row],[Order Date]]</f>
        <v>2</v>
      </c>
    </row>
    <row r="69" spans="1:18" x14ac:dyDescent="0.25">
      <c r="A69" s="3" t="s">
        <v>233</v>
      </c>
      <c r="B69" s="2" t="s">
        <v>234</v>
      </c>
      <c r="C69" s="2" t="s">
        <v>234</v>
      </c>
      <c r="D69" s="1" t="s">
        <v>24</v>
      </c>
      <c r="E69" s="1" t="s">
        <v>91</v>
      </c>
      <c r="F69" s="1" t="s">
        <v>38</v>
      </c>
      <c r="G69" s="1" t="s">
        <v>44</v>
      </c>
      <c r="H69" s="1" t="s">
        <v>45</v>
      </c>
      <c r="I69" s="1" t="s">
        <v>83</v>
      </c>
      <c r="J69" s="1">
        <v>2</v>
      </c>
      <c r="K69" s="15">
        <v>624.70000000000005</v>
      </c>
      <c r="L69" s="13">
        <v>0</v>
      </c>
      <c r="M69" s="10">
        <v>417.07</v>
      </c>
      <c r="N69" s="12">
        <f>(Table1[[#This Row],[Quantity]]*Table1[[#This Row],[Unit Price]])*(1-Table1[[#This Row],[Discount]])</f>
        <v>1249.4000000000001</v>
      </c>
      <c r="O69" s="12">
        <f>(Table1[[#This Row],[Unit Price]]-Table1[[#This Row],[Unit Cost]])*Table1[[#This Row],[Quantity]]</f>
        <v>415.2600000000001</v>
      </c>
      <c r="P69" s="17" t="str">
        <f t="shared" si="1"/>
        <v>Standard</v>
      </c>
      <c r="Q69" t="str">
        <f>IF(Table1[[#This Row],[Discount]]&gt;=15%,"HIGH",IF(Table1[[#This Row],[Discount]]&gt;=55,"MEDIUM","NONE"))</f>
        <v>NONE</v>
      </c>
      <c r="R69">
        <f>Table1[[#This Row],[Ship Date]]-Table1[[#This Row],[Order Date]]</f>
        <v>0</v>
      </c>
    </row>
    <row r="70" spans="1:18" x14ac:dyDescent="0.25">
      <c r="A70" s="3" t="s">
        <v>235</v>
      </c>
      <c r="B70" s="2" t="s">
        <v>236</v>
      </c>
      <c r="C70" s="2" t="s">
        <v>237</v>
      </c>
      <c r="D70" s="1" t="s">
        <v>30</v>
      </c>
      <c r="E70" s="1" t="s">
        <v>66</v>
      </c>
      <c r="F70" s="1" t="s">
        <v>43</v>
      </c>
      <c r="G70" s="1" t="s">
        <v>32</v>
      </c>
      <c r="H70" s="1" t="s">
        <v>61</v>
      </c>
      <c r="I70" s="1" t="s">
        <v>62</v>
      </c>
      <c r="J70" s="1">
        <v>11</v>
      </c>
      <c r="K70" s="15">
        <v>35.68</v>
      </c>
      <c r="L70" s="13">
        <v>0</v>
      </c>
      <c r="M70" s="10">
        <v>27.27</v>
      </c>
      <c r="N70" s="12">
        <f>(Table1[[#This Row],[Quantity]]*Table1[[#This Row],[Unit Price]])*(1-Table1[[#This Row],[Discount]])</f>
        <v>392.48</v>
      </c>
      <c r="O70" s="12">
        <f>(Table1[[#This Row],[Unit Price]]-Table1[[#This Row],[Unit Cost]])*Table1[[#This Row],[Quantity]]</f>
        <v>92.51</v>
      </c>
      <c r="P70" s="17" t="str">
        <f t="shared" si="1"/>
        <v>Standard</v>
      </c>
      <c r="Q70" t="str">
        <f>IF(Table1[[#This Row],[Discount]]&gt;=15%,"HIGH",IF(Table1[[#This Row],[Discount]]&gt;=55,"MEDIUM","NONE"))</f>
        <v>NONE</v>
      </c>
      <c r="R70">
        <f>Table1[[#This Row],[Ship Date]]-Table1[[#This Row],[Order Date]]</f>
        <v>3</v>
      </c>
    </row>
    <row r="71" spans="1:18" x14ac:dyDescent="0.25">
      <c r="A71" s="3" t="s">
        <v>238</v>
      </c>
      <c r="B71" s="2" t="s">
        <v>239</v>
      </c>
      <c r="C71" s="2" t="s">
        <v>240</v>
      </c>
      <c r="D71" s="1" t="s">
        <v>30</v>
      </c>
      <c r="E71" s="1" t="s">
        <v>122</v>
      </c>
      <c r="F71" s="1" t="s">
        <v>60</v>
      </c>
      <c r="G71" s="1" t="s">
        <v>26</v>
      </c>
      <c r="H71" s="1" t="s">
        <v>61</v>
      </c>
      <c r="I71" s="1" t="s">
        <v>169</v>
      </c>
      <c r="J71" s="1">
        <v>3</v>
      </c>
      <c r="K71" s="15">
        <v>35.159999999999997</v>
      </c>
      <c r="L71" s="13">
        <v>0</v>
      </c>
      <c r="M71" s="10">
        <v>20.36</v>
      </c>
      <c r="N71" s="12">
        <f>(Table1[[#This Row],[Quantity]]*Table1[[#This Row],[Unit Price]])*(1-Table1[[#This Row],[Discount]])</f>
        <v>105.47999999999999</v>
      </c>
      <c r="O71" s="12">
        <f>(Table1[[#This Row],[Unit Price]]-Table1[[#This Row],[Unit Cost]])*Table1[[#This Row],[Quantity]]</f>
        <v>44.399999999999991</v>
      </c>
      <c r="P71" s="17" t="str">
        <f t="shared" si="1"/>
        <v>Bulk</v>
      </c>
      <c r="Q71" t="str">
        <f>IF(Table1[[#This Row],[Discount]]&gt;=15%,"HIGH",IF(Table1[[#This Row],[Discount]]&gt;=55,"MEDIUM","NONE"))</f>
        <v>NONE</v>
      </c>
      <c r="R71">
        <f>Table1[[#This Row],[Ship Date]]-Table1[[#This Row],[Order Date]]</f>
        <v>2</v>
      </c>
    </row>
    <row r="72" spans="1:18" x14ac:dyDescent="0.25">
      <c r="A72" s="3" t="s">
        <v>241</v>
      </c>
      <c r="B72" s="2" t="s">
        <v>242</v>
      </c>
      <c r="C72" s="2" t="s">
        <v>242</v>
      </c>
      <c r="D72" s="1" t="s">
        <v>24</v>
      </c>
      <c r="E72" s="1" t="s">
        <v>87</v>
      </c>
      <c r="F72" s="1" t="s">
        <v>43</v>
      </c>
      <c r="G72" s="1" t="s">
        <v>32</v>
      </c>
      <c r="H72" s="1" t="s">
        <v>61</v>
      </c>
      <c r="I72" s="1" t="s">
        <v>62</v>
      </c>
      <c r="J72" s="1">
        <v>25</v>
      </c>
      <c r="K72" s="15">
        <v>49.88</v>
      </c>
      <c r="L72" s="13">
        <v>0.05</v>
      </c>
      <c r="M72" s="10">
        <v>36.909999999999997</v>
      </c>
      <c r="N72" s="12">
        <f>(Table1[[#This Row],[Quantity]]*Table1[[#This Row],[Unit Price]])*(1-Table1[[#This Row],[Discount]])</f>
        <v>1184.6499999999999</v>
      </c>
      <c r="O72" s="12">
        <f>(Table1[[#This Row],[Unit Price]]-Table1[[#This Row],[Unit Cost]])*Table1[[#This Row],[Quantity]]</f>
        <v>324.25000000000017</v>
      </c>
      <c r="P72" s="17" t="str">
        <f t="shared" si="1"/>
        <v>Standard</v>
      </c>
      <c r="Q72" t="str">
        <f>IF(Table1[[#This Row],[Discount]]&gt;=15%,"HIGH",IF(Table1[[#This Row],[Discount]]&gt;=55,"MEDIUM","NONE"))</f>
        <v>NONE</v>
      </c>
      <c r="R72">
        <f>Table1[[#This Row],[Ship Date]]-Table1[[#This Row],[Order Date]]</f>
        <v>0</v>
      </c>
    </row>
    <row r="73" spans="1:18" x14ac:dyDescent="0.25">
      <c r="A73" s="3" t="s">
        <v>243</v>
      </c>
      <c r="B73" s="2" t="s">
        <v>244</v>
      </c>
      <c r="C73" s="2" t="s">
        <v>245</v>
      </c>
      <c r="D73" s="1" t="s">
        <v>16</v>
      </c>
      <c r="E73" s="1" t="s">
        <v>66</v>
      </c>
      <c r="F73" s="1" t="s">
        <v>60</v>
      </c>
      <c r="G73" s="1" t="s">
        <v>67</v>
      </c>
      <c r="H73" s="1" t="s">
        <v>45</v>
      </c>
      <c r="I73" s="1" t="s">
        <v>148</v>
      </c>
      <c r="J73" s="1">
        <v>21</v>
      </c>
      <c r="K73" s="15">
        <v>510.57</v>
      </c>
      <c r="L73" s="13">
        <v>0</v>
      </c>
      <c r="M73" s="10">
        <v>371.41</v>
      </c>
      <c r="N73" s="12">
        <f>(Table1[[#This Row],[Quantity]]*Table1[[#This Row],[Unit Price]])*(1-Table1[[#This Row],[Discount]])</f>
        <v>10721.97</v>
      </c>
      <c r="O73" s="12">
        <f>(Table1[[#This Row],[Unit Price]]-Table1[[#This Row],[Unit Cost]])*Table1[[#This Row],[Quantity]]</f>
        <v>2922.3599999999992</v>
      </c>
      <c r="P73" s="17" t="str">
        <f t="shared" si="1"/>
        <v>Bulk</v>
      </c>
      <c r="Q73" t="str">
        <f>IF(Table1[[#This Row],[Discount]]&gt;=15%,"HIGH",IF(Table1[[#This Row],[Discount]]&gt;=55,"MEDIUM","NONE"))</f>
        <v>NONE</v>
      </c>
      <c r="R73">
        <f>Table1[[#This Row],[Ship Date]]-Table1[[#This Row],[Order Date]]</f>
        <v>6</v>
      </c>
    </row>
    <row r="74" spans="1:18" x14ac:dyDescent="0.25">
      <c r="A74" s="3" t="s">
        <v>246</v>
      </c>
      <c r="B74" s="2" t="s">
        <v>247</v>
      </c>
      <c r="C74" s="2" t="s">
        <v>248</v>
      </c>
      <c r="D74" s="1" t="s">
        <v>16</v>
      </c>
      <c r="E74" s="1" t="s">
        <v>96</v>
      </c>
      <c r="F74" s="1" t="s">
        <v>25</v>
      </c>
      <c r="G74" s="1" t="s">
        <v>82</v>
      </c>
      <c r="H74" s="1" t="s">
        <v>61</v>
      </c>
      <c r="I74" s="1" t="s">
        <v>106</v>
      </c>
      <c r="J74" s="1">
        <v>21</v>
      </c>
      <c r="K74" s="15">
        <v>76.569999999999993</v>
      </c>
      <c r="L74" s="13">
        <v>0.05</v>
      </c>
      <c r="M74" s="10">
        <v>59.97</v>
      </c>
      <c r="N74" s="12">
        <f>(Table1[[#This Row],[Quantity]]*Table1[[#This Row],[Unit Price]])*(1-Table1[[#This Row],[Discount]])</f>
        <v>1527.5714999999998</v>
      </c>
      <c r="O74" s="12">
        <f>(Table1[[#This Row],[Unit Price]]-Table1[[#This Row],[Unit Cost]])*Table1[[#This Row],[Quantity]]</f>
        <v>348.59999999999991</v>
      </c>
      <c r="P74" s="17" t="str">
        <f t="shared" si="1"/>
        <v>Bulk</v>
      </c>
      <c r="Q74" t="str">
        <f>IF(Table1[[#This Row],[Discount]]&gt;=15%,"HIGH",IF(Table1[[#This Row],[Discount]]&gt;=55,"MEDIUM","NONE"))</f>
        <v>NONE</v>
      </c>
      <c r="R74">
        <f>Table1[[#This Row],[Ship Date]]-Table1[[#This Row],[Order Date]]</f>
        <v>6</v>
      </c>
    </row>
    <row r="75" spans="1:18" x14ac:dyDescent="0.25">
      <c r="A75" s="3" t="s">
        <v>249</v>
      </c>
      <c r="B75" s="2" t="s">
        <v>250</v>
      </c>
      <c r="C75" s="2" t="s">
        <v>251</v>
      </c>
      <c r="D75" s="1" t="s">
        <v>30</v>
      </c>
      <c r="E75" s="1" t="s">
        <v>75</v>
      </c>
      <c r="F75" s="1" t="s">
        <v>25</v>
      </c>
      <c r="G75" s="1" t="s">
        <v>50</v>
      </c>
      <c r="H75" s="1" t="s">
        <v>61</v>
      </c>
      <c r="I75" s="1" t="s">
        <v>62</v>
      </c>
      <c r="J75" s="1">
        <v>7</v>
      </c>
      <c r="K75" s="15">
        <v>83.75</v>
      </c>
      <c r="L75" s="13">
        <v>0.1</v>
      </c>
      <c r="M75" s="10">
        <v>61.69</v>
      </c>
      <c r="N75" s="12">
        <f>(Table1[[#This Row],[Quantity]]*Table1[[#This Row],[Unit Price]])*(1-Table1[[#This Row],[Discount]])</f>
        <v>527.625</v>
      </c>
      <c r="O75" s="12">
        <f>(Table1[[#This Row],[Unit Price]]-Table1[[#This Row],[Unit Cost]])*Table1[[#This Row],[Quantity]]</f>
        <v>154.42000000000002</v>
      </c>
      <c r="P75" s="17" t="str">
        <f t="shared" si="1"/>
        <v>Bulk</v>
      </c>
      <c r="Q75" t="str">
        <f>IF(Table1[[#This Row],[Discount]]&gt;=15%,"HIGH",IF(Table1[[#This Row],[Discount]]&gt;=55,"MEDIUM","NONE"))</f>
        <v>NONE</v>
      </c>
      <c r="R75">
        <f>Table1[[#This Row],[Ship Date]]-Table1[[#This Row],[Order Date]]</f>
        <v>2</v>
      </c>
    </row>
    <row r="76" spans="1:18" x14ac:dyDescent="0.25">
      <c r="A76" s="3" t="s">
        <v>252</v>
      </c>
      <c r="B76" s="2" t="s">
        <v>253</v>
      </c>
      <c r="C76" s="2" t="s">
        <v>254</v>
      </c>
      <c r="D76" s="1" t="s">
        <v>30</v>
      </c>
      <c r="E76" s="1" t="s">
        <v>37</v>
      </c>
      <c r="F76" s="1" t="s">
        <v>38</v>
      </c>
      <c r="G76" s="1" t="s">
        <v>26</v>
      </c>
      <c r="H76" s="1" t="s">
        <v>61</v>
      </c>
      <c r="I76" s="1" t="s">
        <v>169</v>
      </c>
      <c r="J76" s="1">
        <v>24</v>
      </c>
      <c r="K76" s="15">
        <v>33.880000000000003</v>
      </c>
      <c r="L76" s="13">
        <v>0.1</v>
      </c>
      <c r="M76" s="10">
        <v>23.55</v>
      </c>
      <c r="N76" s="12">
        <f>(Table1[[#This Row],[Quantity]]*Table1[[#This Row],[Unit Price]])*(1-Table1[[#This Row],[Discount]])</f>
        <v>731.80800000000011</v>
      </c>
      <c r="O76" s="12">
        <f>(Table1[[#This Row],[Unit Price]]-Table1[[#This Row],[Unit Cost]])*Table1[[#This Row],[Quantity]]</f>
        <v>247.92000000000004</v>
      </c>
      <c r="P76" s="17" t="str">
        <f t="shared" si="1"/>
        <v>Standard</v>
      </c>
      <c r="Q76" t="str">
        <f>IF(Table1[[#This Row],[Discount]]&gt;=15%,"HIGH",IF(Table1[[#This Row],[Discount]]&gt;=55,"MEDIUM","NONE"))</f>
        <v>NONE</v>
      </c>
      <c r="R76">
        <f>Table1[[#This Row],[Ship Date]]-Table1[[#This Row],[Order Date]]</f>
        <v>2</v>
      </c>
    </row>
    <row r="77" spans="1:18" x14ac:dyDescent="0.25">
      <c r="A77" s="3" t="s">
        <v>255</v>
      </c>
      <c r="B77" s="2" t="s">
        <v>256</v>
      </c>
      <c r="C77" s="2" t="s">
        <v>257</v>
      </c>
      <c r="D77" s="1" t="s">
        <v>30</v>
      </c>
      <c r="E77" s="1" t="s">
        <v>122</v>
      </c>
      <c r="F77" s="1" t="s">
        <v>18</v>
      </c>
      <c r="G77" s="1" t="s">
        <v>97</v>
      </c>
      <c r="H77" s="1" t="s">
        <v>61</v>
      </c>
      <c r="I77" s="1" t="s">
        <v>169</v>
      </c>
      <c r="J77" s="1">
        <v>11</v>
      </c>
      <c r="K77" s="15">
        <v>79.569999999999993</v>
      </c>
      <c r="L77" s="13">
        <v>0.15</v>
      </c>
      <c r="M77" s="10">
        <v>48.51</v>
      </c>
      <c r="N77" s="12">
        <f>(Table1[[#This Row],[Quantity]]*Table1[[#This Row],[Unit Price]])*(1-Table1[[#This Row],[Discount]])</f>
        <v>743.97949999999992</v>
      </c>
      <c r="O77" s="12">
        <f>(Table1[[#This Row],[Unit Price]]-Table1[[#This Row],[Unit Cost]])*Table1[[#This Row],[Quantity]]</f>
        <v>341.65999999999997</v>
      </c>
      <c r="P77" s="17" t="str">
        <f t="shared" si="1"/>
        <v>Bulk</v>
      </c>
      <c r="Q77" t="str">
        <f>IF(Table1[[#This Row],[Discount]]&gt;=15%,"HIGH",IF(Table1[[#This Row],[Discount]]&gt;=55,"MEDIUM","NONE"))</f>
        <v>HIGH</v>
      </c>
      <c r="R77">
        <f>Table1[[#This Row],[Ship Date]]-Table1[[#This Row],[Order Date]]</f>
        <v>2</v>
      </c>
    </row>
    <row r="78" spans="1:18" x14ac:dyDescent="0.25">
      <c r="A78" s="3" t="s">
        <v>258</v>
      </c>
      <c r="B78" s="2" t="s">
        <v>259</v>
      </c>
      <c r="C78" s="2" t="s">
        <v>259</v>
      </c>
      <c r="D78" s="1" t="s">
        <v>24</v>
      </c>
      <c r="E78" s="1" t="s">
        <v>55</v>
      </c>
      <c r="F78" s="1" t="s">
        <v>60</v>
      </c>
      <c r="G78" s="1" t="s">
        <v>97</v>
      </c>
      <c r="H78" s="1" t="s">
        <v>20</v>
      </c>
      <c r="I78" s="1" t="s">
        <v>134</v>
      </c>
      <c r="J78" s="1">
        <v>21</v>
      </c>
      <c r="K78" s="15">
        <v>1177.94</v>
      </c>
      <c r="L78" s="13">
        <v>0.05</v>
      </c>
      <c r="M78" s="10">
        <v>931.99</v>
      </c>
      <c r="N78" s="12">
        <f>(Table1[[#This Row],[Quantity]]*Table1[[#This Row],[Unit Price]])*(1-Table1[[#This Row],[Discount]])</f>
        <v>23499.903000000002</v>
      </c>
      <c r="O78" s="12">
        <f>(Table1[[#This Row],[Unit Price]]-Table1[[#This Row],[Unit Cost]])*Table1[[#This Row],[Quantity]]</f>
        <v>5164.9500000000007</v>
      </c>
      <c r="P78" s="17" t="str">
        <f t="shared" si="1"/>
        <v>Bulk</v>
      </c>
      <c r="Q78" t="str">
        <f>IF(Table1[[#This Row],[Discount]]&gt;=15%,"HIGH",IF(Table1[[#This Row],[Discount]]&gt;=55,"MEDIUM","NONE"))</f>
        <v>NONE</v>
      </c>
      <c r="R78">
        <f>Table1[[#This Row],[Ship Date]]-Table1[[#This Row],[Order Date]]</f>
        <v>0</v>
      </c>
    </row>
    <row r="79" spans="1:18" x14ac:dyDescent="0.25">
      <c r="A79" s="3" t="s">
        <v>260</v>
      </c>
      <c r="B79" s="2" t="s">
        <v>261</v>
      </c>
      <c r="C79" s="2" t="s">
        <v>261</v>
      </c>
      <c r="D79" s="1" t="s">
        <v>24</v>
      </c>
      <c r="E79" s="1" t="s">
        <v>75</v>
      </c>
      <c r="F79" s="1" t="s">
        <v>38</v>
      </c>
      <c r="G79" s="1" t="s">
        <v>26</v>
      </c>
      <c r="H79" s="1" t="s">
        <v>61</v>
      </c>
      <c r="I79" s="1" t="s">
        <v>106</v>
      </c>
      <c r="J79" s="1">
        <v>5</v>
      </c>
      <c r="K79" s="15">
        <v>42.8</v>
      </c>
      <c r="L79" s="13">
        <v>0.15</v>
      </c>
      <c r="M79" s="10">
        <v>33.92</v>
      </c>
      <c r="N79" s="12">
        <f>(Table1[[#This Row],[Quantity]]*Table1[[#This Row],[Unit Price]])*(1-Table1[[#This Row],[Discount]])</f>
        <v>181.9</v>
      </c>
      <c r="O79" s="12">
        <f>(Table1[[#This Row],[Unit Price]]-Table1[[#This Row],[Unit Cost]])*Table1[[#This Row],[Quantity]]</f>
        <v>44.399999999999977</v>
      </c>
      <c r="P79" s="17" t="str">
        <f t="shared" si="1"/>
        <v>Bulk</v>
      </c>
      <c r="Q79" t="str">
        <f>IF(Table1[[#This Row],[Discount]]&gt;=15%,"HIGH",IF(Table1[[#This Row],[Discount]]&gt;=55,"MEDIUM","NONE"))</f>
        <v>HIGH</v>
      </c>
      <c r="R79">
        <f>Table1[[#This Row],[Ship Date]]-Table1[[#This Row],[Order Date]]</f>
        <v>0</v>
      </c>
    </row>
    <row r="80" spans="1:18" x14ac:dyDescent="0.25">
      <c r="A80" s="3" t="s">
        <v>262</v>
      </c>
      <c r="B80" s="2" t="s">
        <v>85</v>
      </c>
      <c r="C80" s="2" t="s">
        <v>85</v>
      </c>
      <c r="D80" s="1" t="s">
        <v>24</v>
      </c>
      <c r="E80" s="1" t="s">
        <v>49</v>
      </c>
      <c r="F80" s="1" t="s">
        <v>60</v>
      </c>
      <c r="G80" s="1" t="s">
        <v>32</v>
      </c>
      <c r="H80" s="1" t="s">
        <v>33</v>
      </c>
      <c r="I80" s="1" t="s">
        <v>153</v>
      </c>
      <c r="J80" s="1">
        <v>18</v>
      </c>
      <c r="K80" s="15">
        <v>16.440000000000001</v>
      </c>
      <c r="L80" s="13">
        <v>0</v>
      </c>
      <c r="M80" s="10">
        <v>11.62</v>
      </c>
      <c r="N80" s="12">
        <f>(Table1[[#This Row],[Quantity]]*Table1[[#This Row],[Unit Price]])*(1-Table1[[#This Row],[Discount]])</f>
        <v>295.92</v>
      </c>
      <c r="O80" s="12">
        <f>(Table1[[#This Row],[Unit Price]]-Table1[[#This Row],[Unit Cost]])*Table1[[#This Row],[Quantity]]</f>
        <v>86.760000000000034</v>
      </c>
      <c r="P80" s="17" t="str">
        <f t="shared" si="1"/>
        <v>Standard</v>
      </c>
      <c r="Q80" t="str">
        <f>IF(Table1[[#This Row],[Discount]]&gt;=15%,"HIGH",IF(Table1[[#This Row],[Discount]]&gt;=55,"MEDIUM","NONE"))</f>
        <v>NONE</v>
      </c>
      <c r="R80">
        <f>Table1[[#This Row],[Ship Date]]-Table1[[#This Row],[Order Date]]</f>
        <v>0</v>
      </c>
    </row>
    <row r="81" spans="1:18" x14ac:dyDescent="0.25">
      <c r="A81" s="3" t="s">
        <v>263</v>
      </c>
      <c r="B81" s="2" t="s">
        <v>264</v>
      </c>
      <c r="C81" s="2" t="s">
        <v>265</v>
      </c>
      <c r="D81" s="1" t="s">
        <v>30</v>
      </c>
      <c r="E81" s="1" t="s">
        <v>17</v>
      </c>
      <c r="F81" s="1" t="s">
        <v>18</v>
      </c>
      <c r="G81" s="1" t="s">
        <v>67</v>
      </c>
      <c r="H81" s="1" t="s">
        <v>20</v>
      </c>
      <c r="I81" s="1" t="s">
        <v>113</v>
      </c>
      <c r="J81" s="1">
        <v>4</v>
      </c>
      <c r="K81" s="15">
        <v>924.43</v>
      </c>
      <c r="L81" s="13">
        <v>0.15</v>
      </c>
      <c r="M81" s="10">
        <v>710.1</v>
      </c>
      <c r="N81" s="12">
        <f>(Table1[[#This Row],[Quantity]]*Table1[[#This Row],[Unit Price]])*(1-Table1[[#This Row],[Discount]])</f>
        <v>3143.0619999999999</v>
      </c>
      <c r="O81" s="12">
        <f>(Table1[[#This Row],[Unit Price]]-Table1[[#This Row],[Unit Cost]])*Table1[[#This Row],[Quantity]]</f>
        <v>857.31999999999971</v>
      </c>
      <c r="P81" s="17" t="str">
        <f t="shared" si="1"/>
        <v>Bulk</v>
      </c>
      <c r="Q81" t="str">
        <f>IF(Table1[[#This Row],[Discount]]&gt;=15%,"HIGH",IF(Table1[[#This Row],[Discount]]&gt;=55,"MEDIUM","NONE"))</f>
        <v>HIGH</v>
      </c>
      <c r="R81">
        <f>Table1[[#This Row],[Ship Date]]-Table1[[#This Row],[Order Date]]</f>
        <v>2</v>
      </c>
    </row>
    <row r="82" spans="1:18" x14ac:dyDescent="0.25">
      <c r="A82" s="3" t="s">
        <v>266</v>
      </c>
      <c r="B82" s="2" t="s">
        <v>239</v>
      </c>
      <c r="C82" s="2" t="s">
        <v>240</v>
      </c>
      <c r="D82" s="1" t="s">
        <v>30</v>
      </c>
      <c r="E82" s="1" t="s">
        <v>117</v>
      </c>
      <c r="F82" s="1" t="s">
        <v>43</v>
      </c>
      <c r="G82" s="1" t="s">
        <v>26</v>
      </c>
      <c r="H82" s="1" t="s">
        <v>33</v>
      </c>
      <c r="I82" s="1" t="s">
        <v>34</v>
      </c>
      <c r="J82" s="1">
        <v>12</v>
      </c>
      <c r="K82" s="15">
        <v>16.239999999999998</v>
      </c>
      <c r="L82" s="13">
        <v>0</v>
      </c>
      <c r="M82" s="10">
        <v>9.92</v>
      </c>
      <c r="N82" s="12">
        <f>(Table1[[#This Row],[Quantity]]*Table1[[#This Row],[Unit Price]])*(1-Table1[[#This Row],[Discount]])</f>
        <v>194.88</v>
      </c>
      <c r="O82" s="12">
        <f>(Table1[[#This Row],[Unit Price]]-Table1[[#This Row],[Unit Cost]])*Table1[[#This Row],[Quantity]]</f>
        <v>75.839999999999975</v>
      </c>
      <c r="P82" s="17" t="str">
        <f t="shared" si="1"/>
        <v>Standard</v>
      </c>
      <c r="Q82" t="str">
        <f>IF(Table1[[#This Row],[Discount]]&gt;=15%,"HIGH",IF(Table1[[#This Row],[Discount]]&gt;=55,"MEDIUM","NONE"))</f>
        <v>NONE</v>
      </c>
      <c r="R82">
        <f>Table1[[#This Row],[Ship Date]]-Table1[[#This Row],[Order Date]]</f>
        <v>2</v>
      </c>
    </row>
    <row r="83" spans="1:18" x14ac:dyDescent="0.25">
      <c r="A83" s="3" t="s">
        <v>267</v>
      </c>
      <c r="B83" s="2" t="s">
        <v>268</v>
      </c>
      <c r="C83" s="2" t="s">
        <v>269</v>
      </c>
      <c r="D83" s="1" t="s">
        <v>30</v>
      </c>
      <c r="E83" s="1" t="s">
        <v>55</v>
      </c>
      <c r="F83" s="1" t="s">
        <v>38</v>
      </c>
      <c r="G83" s="1" t="s">
        <v>19</v>
      </c>
      <c r="H83" s="1" t="s">
        <v>45</v>
      </c>
      <c r="I83" s="1" t="s">
        <v>46</v>
      </c>
      <c r="J83" s="1">
        <v>19</v>
      </c>
      <c r="K83" s="15">
        <v>165.91</v>
      </c>
      <c r="L83" s="13">
        <v>0.05</v>
      </c>
      <c r="M83" s="10">
        <v>117.71</v>
      </c>
      <c r="N83" s="12">
        <f>(Table1[[#This Row],[Quantity]]*Table1[[#This Row],[Unit Price]])*(1-Table1[[#This Row],[Discount]])</f>
        <v>2994.6754999999998</v>
      </c>
      <c r="O83" s="12">
        <f>(Table1[[#This Row],[Unit Price]]-Table1[[#This Row],[Unit Cost]])*Table1[[#This Row],[Quantity]]</f>
        <v>915.80000000000007</v>
      </c>
      <c r="P83" s="17" t="str">
        <f t="shared" si="1"/>
        <v>Bulk</v>
      </c>
      <c r="Q83" t="str">
        <f>IF(Table1[[#This Row],[Discount]]&gt;=15%,"HIGH",IF(Table1[[#This Row],[Discount]]&gt;=55,"MEDIUM","NONE"))</f>
        <v>NONE</v>
      </c>
      <c r="R83">
        <f>Table1[[#This Row],[Ship Date]]-Table1[[#This Row],[Order Date]]</f>
        <v>3</v>
      </c>
    </row>
    <row r="84" spans="1:18" x14ac:dyDescent="0.25">
      <c r="A84" s="3" t="s">
        <v>270</v>
      </c>
      <c r="B84" s="2" t="s">
        <v>223</v>
      </c>
      <c r="C84" s="2" t="s">
        <v>271</v>
      </c>
      <c r="D84" s="1" t="s">
        <v>16</v>
      </c>
      <c r="E84" s="1" t="s">
        <v>122</v>
      </c>
      <c r="F84" s="1" t="s">
        <v>18</v>
      </c>
      <c r="G84" s="1" t="s">
        <v>50</v>
      </c>
      <c r="H84" s="1" t="s">
        <v>20</v>
      </c>
      <c r="I84" s="1" t="s">
        <v>139</v>
      </c>
      <c r="J84" s="1">
        <v>15</v>
      </c>
      <c r="K84" s="15">
        <v>1137.02</v>
      </c>
      <c r="L84" s="13">
        <v>0.1</v>
      </c>
      <c r="M84" s="10">
        <v>710.4</v>
      </c>
      <c r="N84" s="12">
        <f>(Table1[[#This Row],[Quantity]]*Table1[[#This Row],[Unit Price]])*(1-Table1[[#This Row],[Discount]])</f>
        <v>15349.77</v>
      </c>
      <c r="O84" s="12">
        <f>(Table1[[#This Row],[Unit Price]]-Table1[[#This Row],[Unit Cost]])*Table1[[#This Row],[Quantity]]</f>
        <v>6399.3</v>
      </c>
      <c r="P84" s="17" t="str">
        <f t="shared" si="1"/>
        <v>Bulk</v>
      </c>
      <c r="Q84" t="str">
        <f>IF(Table1[[#This Row],[Discount]]&gt;=15%,"HIGH",IF(Table1[[#This Row],[Discount]]&gt;=55,"MEDIUM","NONE"))</f>
        <v>NONE</v>
      </c>
      <c r="R84">
        <f>Table1[[#This Row],[Ship Date]]-Table1[[#This Row],[Order Date]]</f>
        <v>7</v>
      </c>
    </row>
    <row r="85" spans="1:18" x14ac:dyDescent="0.25">
      <c r="A85" s="3" t="s">
        <v>272</v>
      </c>
      <c r="B85" s="2" t="s">
        <v>273</v>
      </c>
      <c r="C85" s="2" t="s">
        <v>274</v>
      </c>
      <c r="D85" s="1" t="s">
        <v>16</v>
      </c>
      <c r="E85" s="1" t="s">
        <v>66</v>
      </c>
      <c r="F85" s="1" t="s">
        <v>60</v>
      </c>
      <c r="G85" s="1" t="s">
        <v>67</v>
      </c>
      <c r="H85" s="1" t="s">
        <v>33</v>
      </c>
      <c r="I85" s="1" t="s">
        <v>51</v>
      </c>
      <c r="J85" s="1">
        <v>13</v>
      </c>
      <c r="K85" s="15">
        <v>23.73</v>
      </c>
      <c r="L85" s="13">
        <v>0.1</v>
      </c>
      <c r="M85" s="10">
        <v>14.81</v>
      </c>
      <c r="N85" s="12">
        <f>(Table1[[#This Row],[Quantity]]*Table1[[#This Row],[Unit Price]])*(1-Table1[[#This Row],[Discount]])</f>
        <v>277.64100000000002</v>
      </c>
      <c r="O85" s="12">
        <f>(Table1[[#This Row],[Unit Price]]-Table1[[#This Row],[Unit Cost]])*Table1[[#This Row],[Quantity]]</f>
        <v>115.96</v>
      </c>
      <c r="P85" s="17" t="str">
        <f t="shared" si="1"/>
        <v>Bulk</v>
      </c>
      <c r="Q85" t="str">
        <f>IF(Table1[[#This Row],[Discount]]&gt;=15%,"HIGH",IF(Table1[[#This Row],[Discount]]&gt;=55,"MEDIUM","NONE"))</f>
        <v>NONE</v>
      </c>
      <c r="R85">
        <f>Table1[[#This Row],[Ship Date]]-Table1[[#This Row],[Order Date]]</f>
        <v>6</v>
      </c>
    </row>
    <row r="86" spans="1:18" x14ac:dyDescent="0.25">
      <c r="A86" s="3" t="s">
        <v>275</v>
      </c>
      <c r="B86" s="2" t="s">
        <v>276</v>
      </c>
      <c r="C86" s="2" t="s">
        <v>276</v>
      </c>
      <c r="D86" s="1" t="s">
        <v>24</v>
      </c>
      <c r="E86" s="1" t="s">
        <v>109</v>
      </c>
      <c r="F86" s="1" t="s">
        <v>43</v>
      </c>
      <c r="G86" s="1" t="s">
        <v>26</v>
      </c>
      <c r="H86" s="1" t="s">
        <v>61</v>
      </c>
      <c r="I86" s="1" t="s">
        <v>169</v>
      </c>
      <c r="J86" s="1">
        <v>24</v>
      </c>
      <c r="K86" s="15">
        <v>49.74</v>
      </c>
      <c r="L86" s="13">
        <v>0</v>
      </c>
      <c r="M86" s="10">
        <v>37</v>
      </c>
      <c r="N86" s="12">
        <f>(Table1[[#This Row],[Quantity]]*Table1[[#This Row],[Unit Price]])*(1-Table1[[#This Row],[Discount]])</f>
        <v>1193.76</v>
      </c>
      <c r="O86" s="12">
        <f>(Table1[[#This Row],[Unit Price]]-Table1[[#This Row],[Unit Cost]])*Table1[[#This Row],[Quantity]]</f>
        <v>305.76000000000005</v>
      </c>
      <c r="P86" s="17" t="str">
        <f t="shared" si="1"/>
        <v>Bulk</v>
      </c>
      <c r="Q86" t="str">
        <f>IF(Table1[[#This Row],[Discount]]&gt;=15%,"HIGH",IF(Table1[[#This Row],[Discount]]&gt;=55,"MEDIUM","NONE"))</f>
        <v>NONE</v>
      </c>
      <c r="R86">
        <f>Table1[[#This Row],[Ship Date]]-Table1[[#This Row],[Order Date]]</f>
        <v>0</v>
      </c>
    </row>
    <row r="87" spans="1:18" x14ac:dyDescent="0.25">
      <c r="A87" s="3" t="s">
        <v>277</v>
      </c>
      <c r="B87" s="2" t="s">
        <v>278</v>
      </c>
      <c r="C87" s="2" t="s">
        <v>278</v>
      </c>
      <c r="D87" s="1" t="s">
        <v>24</v>
      </c>
      <c r="E87" s="1" t="s">
        <v>59</v>
      </c>
      <c r="F87" s="1" t="s">
        <v>18</v>
      </c>
      <c r="G87" s="1" t="s">
        <v>67</v>
      </c>
      <c r="H87" s="1" t="s">
        <v>45</v>
      </c>
      <c r="I87" s="1" t="s">
        <v>83</v>
      </c>
      <c r="J87" s="1">
        <v>21</v>
      </c>
      <c r="K87" s="15">
        <v>89.17</v>
      </c>
      <c r="L87" s="13">
        <v>0.2</v>
      </c>
      <c r="M87" s="10">
        <v>58.87</v>
      </c>
      <c r="N87" s="12">
        <f>(Table1[[#This Row],[Quantity]]*Table1[[#This Row],[Unit Price]])*(1-Table1[[#This Row],[Discount]])</f>
        <v>1498.056</v>
      </c>
      <c r="O87" s="12">
        <f>(Table1[[#This Row],[Unit Price]]-Table1[[#This Row],[Unit Cost]])*Table1[[#This Row],[Quantity]]</f>
        <v>636.30000000000007</v>
      </c>
      <c r="P87" s="17" t="str">
        <f t="shared" si="1"/>
        <v>Bulk</v>
      </c>
      <c r="Q87" t="str">
        <f>IF(Table1[[#This Row],[Discount]]&gt;=15%,"HIGH",IF(Table1[[#This Row],[Discount]]&gt;=55,"MEDIUM","NONE"))</f>
        <v>HIGH</v>
      </c>
      <c r="R87">
        <f>Table1[[#This Row],[Ship Date]]-Table1[[#This Row],[Order Date]]</f>
        <v>0</v>
      </c>
    </row>
    <row r="88" spans="1:18" x14ac:dyDescent="0.25">
      <c r="A88" s="3" t="s">
        <v>279</v>
      </c>
      <c r="B88" s="2" t="s">
        <v>280</v>
      </c>
      <c r="C88" s="2" t="s">
        <v>281</v>
      </c>
      <c r="D88" s="1" t="s">
        <v>16</v>
      </c>
      <c r="E88" s="1" t="s">
        <v>78</v>
      </c>
      <c r="F88" s="1" t="s">
        <v>60</v>
      </c>
      <c r="G88" s="1" t="s">
        <v>19</v>
      </c>
      <c r="H88" s="1" t="s">
        <v>33</v>
      </c>
      <c r="I88" s="1" t="s">
        <v>39</v>
      </c>
      <c r="J88" s="1">
        <v>18</v>
      </c>
      <c r="K88" s="15">
        <v>35.31</v>
      </c>
      <c r="L88" s="13">
        <v>0</v>
      </c>
      <c r="M88" s="10">
        <v>24.11</v>
      </c>
      <c r="N88" s="12">
        <f>(Table1[[#This Row],[Quantity]]*Table1[[#This Row],[Unit Price]])*(1-Table1[[#This Row],[Discount]])</f>
        <v>635.58000000000004</v>
      </c>
      <c r="O88" s="12">
        <f>(Table1[[#This Row],[Unit Price]]-Table1[[#This Row],[Unit Cost]])*Table1[[#This Row],[Quantity]]</f>
        <v>201.60000000000005</v>
      </c>
      <c r="P88" s="17" t="str">
        <f t="shared" si="1"/>
        <v>Bulk</v>
      </c>
      <c r="Q88" t="str">
        <f>IF(Table1[[#This Row],[Discount]]&gt;=15%,"HIGH",IF(Table1[[#This Row],[Discount]]&gt;=55,"MEDIUM","NONE"))</f>
        <v>NONE</v>
      </c>
      <c r="R88">
        <f>Table1[[#This Row],[Ship Date]]-Table1[[#This Row],[Order Date]]</f>
        <v>6</v>
      </c>
    </row>
    <row r="89" spans="1:18" x14ac:dyDescent="0.25">
      <c r="A89" s="3" t="s">
        <v>282</v>
      </c>
      <c r="B89" s="2" t="s">
        <v>283</v>
      </c>
      <c r="C89" s="2" t="s">
        <v>284</v>
      </c>
      <c r="D89" s="1" t="s">
        <v>16</v>
      </c>
      <c r="E89" s="1" t="s">
        <v>96</v>
      </c>
      <c r="F89" s="1" t="s">
        <v>18</v>
      </c>
      <c r="G89" s="1" t="s">
        <v>82</v>
      </c>
      <c r="H89" s="1" t="s">
        <v>61</v>
      </c>
      <c r="I89" s="1" t="s">
        <v>169</v>
      </c>
      <c r="J89" s="1">
        <v>5</v>
      </c>
      <c r="K89" s="15">
        <v>70.33</v>
      </c>
      <c r="L89" s="13">
        <v>0</v>
      </c>
      <c r="M89" s="10">
        <v>53.8</v>
      </c>
      <c r="N89" s="12">
        <f>(Table1[[#This Row],[Quantity]]*Table1[[#This Row],[Unit Price]])*(1-Table1[[#This Row],[Discount]])</f>
        <v>351.65</v>
      </c>
      <c r="O89" s="12">
        <f>(Table1[[#This Row],[Unit Price]]-Table1[[#This Row],[Unit Cost]])*Table1[[#This Row],[Quantity]]</f>
        <v>82.65</v>
      </c>
      <c r="P89" s="17" t="str">
        <f t="shared" si="1"/>
        <v>Bulk</v>
      </c>
      <c r="Q89" t="str">
        <f>IF(Table1[[#This Row],[Discount]]&gt;=15%,"HIGH",IF(Table1[[#This Row],[Discount]]&gt;=55,"MEDIUM","NONE"))</f>
        <v>NONE</v>
      </c>
      <c r="R89">
        <f>Table1[[#This Row],[Ship Date]]-Table1[[#This Row],[Order Date]]</f>
        <v>7</v>
      </c>
    </row>
    <row r="90" spans="1:18" x14ac:dyDescent="0.25">
      <c r="A90" s="3" t="s">
        <v>285</v>
      </c>
      <c r="B90" s="2" t="s">
        <v>280</v>
      </c>
      <c r="C90" s="2" t="s">
        <v>286</v>
      </c>
      <c r="D90" s="1" t="s">
        <v>30</v>
      </c>
      <c r="E90" s="1" t="s">
        <v>122</v>
      </c>
      <c r="F90" s="1" t="s">
        <v>18</v>
      </c>
      <c r="G90" s="1" t="s">
        <v>67</v>
      </c>
      <c r="H90" s="1" t="s">
        <v>61</v>
      </c>
      <c r="I90" s="1" t="s">
        <v>106</v>
      </c>
      <c r="J90" s="1">
        <v>12</v>
      </c>
      <c r="K90" s="15">
        <v>63.83</v>
      </c>
      <c r="L90" s="13">
        <v>0.15</v>
      </c>
      <c r="M90" s="10">
        <v>39.29</v>
      </c>
      <c r="N90" s="12">
        <f>(Table1[[#This Row],[Quantity]]*Table1[[#This Row],[Unit Price]])*(1-Table1[[#This Row],[Discount]])</f>
        <v>651.06600000000003</v>
      </c>
      <c r="O90" s="12">
        <f>(Table1[[#This Row],[Unit Price]]-Table1[[#This Row],[Unit Cost]])*Table1[[#This Row],[Quantity]]</f>
        <v>294.48</v>
      </c>
      <c r="P90" s="17" t="str">
        <f t="shared" si="1"/>
        <v>Standard</v>
      </c>
      <c r="Q90" t="str">
        <f>IF(Table1[[#This Row],[Discount]]&gt;=15%,"HIGH",IF(Table1[[#This Row],[Discount]]&gt;=55,"MEDIUM","NONE"))</f>
        <v>HIGH</v>
      </c>
      <c r="R90">
        <f>Table1[[#This Row],[Ship Date]]-Table1[[#This Row],[Order Date]]</f>
        <v>3</v>
      </c>
    </row>
    <row r="91" spans="1:18" x14ac:dyDescent="0.25">
      <c r="A91" s="3" t="s">
        <v>287</v>
      </c>
      <c r="B91" s="2" t="s">
        <v>288</v>
      </c>
      <c r="C91" s="2" t="s">
        <v>288</v>
      </c>
      <c r="D91" s="1" t="s">
        <v>24</v>
      </c>
      <c r="E91" s="1" t="s">
        <v>112</v>
      </c>
      <c r="F91" s="1" t="s">
        <v>43</v>
      </c>
      <c r="G91" s="1" t="s">
        <v>32</v>
      </c>
      <c r="H91" s="1" t="s">
        <v>45</v>
      </c>
      <c r="I91" s="1" t="s">
        <v>143</v>
      </c>
      <c r="J91" s="1">
        <v>8</v>
      </c>
      <c r="K91" s="15">
        <v>539.26</v>
      </c>
      <c r="L91" s="13">
        <v>0.15</v>
      </c>
      <c r="M91" s="10">
        <v>407.66</v>
      </c>
      <c r="N91" s="12">
        <f>(Table1[[#This Row],[Quantity]]*Table1[[#This Row],[Unit Price]])*(1-Table1[[#This Row],[Discount]])</f>
        <v>3666.9679999999998</v>
      </c>
      <c r="O91" s="12">
        <f>(Table1[[#This Row],[Unit Price]]-Table1[[#This Row],[Unit Cost]])*Table1[[#This Row],[Quantity]]</f>
        <v>1052.7999999999997</v>
      </c>
      <c r="P91" s="17" t="str">
        <f t="shared" si="1"/>
        <v>Bulk</v>
      </c>
      <c r="Q91" t="str">
        <f>IF(Table1[[#This Row],[Discount]]&gt;=15%,"HIGH",IF(Table1[[#This Row],[Discount]]&gt;=55,"MEDIUM","NONE"))</f>
        <v>HIGH</v>
      </c>
      <c r="R91">
        <f>Table1[[#This Row],[Ship Date]]-Table1[[#This Row],[Order Date]]</f>
        <v>0</v>
      </c>
    </row>
    <row r="92" spans="1:18" x14ac:dyDescent="0.25">
      <c r="A92" s="3" t="s">
        <v>289</v>
      </c>
      <c r="B92" s="2" t="s">
        <v>290</v>
      </c>
      <c r="C92" s="2" t="s">
        <v>167</v>
      </c>
      <c r="D92" s="1" t="s">
        <v>16</v>
      </c>
      <c r="E92" s="1" t="s">
        <v>214</v>
      </c>
      <c r="F92" s="1" t="s">
        <v>43</v>
      </c>
      <c r="G92" s="1" t="s">
        <v>82</v>
      </c>
      <c r="H92" s="1" t="s">
        <v>45</v>
      </c>
      <c r="I92" s="1" t="s">
        <v>46</v>
      </c>
      <c r="J92" s="1">
        <v>4</v>
      </c>
      <c r="K92" s="15">
        <v>233.75</v>
      </c>
      <c r="L92" s="13">
        <v>0.1</v>
      </c>
      <c r="M92" s="10">
        <v>136.49</v>
      </c>
      <c r="N92" s="12">
        <f>(Table1[[#This Row],[Quantity]]*Table1[[#This Row],[Unit Price]])*(1-Table1[[#This Row],[Discount]])</f>
        <v>841.5</v>
      </c>
      <c r="O92" s="12">
        <f>(Table1[[#This Row],[Unit Price]]-Table1[[#This Row],[Unit Cost]])*Table1[[#This Row],[Quantity]]</f>
        <v>389.03999999999996</v>
      </c>
      <c r="P92" s="17" t="str">
        <f t="shared" si="1"/>
        <v>Standard</v>
      </c>
      <c r="Q92" t="str">
        <f>IF(Table1[[#This Row],[Discount]]&gt;=15%,"HIGH",IF(Table1[[#This Row],[Discount]]&gt;=55,"MEDIUM","NONE"))</f>
        <v>NONE</v>
      </c>
      <c r="R92">
        <f>Table1[[#This Row],[Ship Date]]-Table1[[#This Row],[Order Date]]</f>
        <v>7</v>
      </c>
    </row>
    <row r="93" spans="1:18" x14ac:dyDescent="0.25">
      <c r="A93" s="3" t="s">
        <v>291</v>
      </c>
      <c r="B93" s="2" t="s">
        <v>292</v>
      </c>
      <c r="C93" s="2" t="s">
        <v>293</v>
      </c>
      <c r="D93" s="1" t="s">
        <v>30</v>
      </c>
      <c r="E93" s="1" t="s">
        <v>31</v>
      </c>
      <c r="F93" s="1" t="s">
        <v>25</v>
      </c>
      <c r="G93" s="1" t="s">
        <v>67</v>
      </c>
      <c r="H93" s="1" t="s">
        <v>61</v>
      </c>
      <c r="I93" s="1" t="s">
        <v>72</v>
      </c>
      <c r="J93" s="1">
        <v>20</v>
      </c>
      <c r="K93" s="15">
        <v>42.65</v>
      </c>
      <c r="L93" s="13">
        <v>0</v>
      </c>
      <c r="M93" s="10">
        <v>23.81</v>
      </c>
      <c r="N93" s="12">
        <f>(Table1[[#This Row],[Quantity]]*Table1[[#This Row],[Unit Price]])*(1-Table1[[#This Row],[Discount]])</f>
        <v>853</v>
      </c>
      <c r="O93" s="12">
        <f>(Table1[[#This Row],[Unit Price]]-Table1[[#This Row],[Unit Cost]])*Table1[[#This Row],[Quantity]]</f>
        <v>376.8</v>
      </c>
      <c r="P93" s="17" t="str">
        <f t="shared" si="1"/>
        <v>Standard</v>
      </c>
      <c r="Q93" t="str">
        <f>IF(Table1[[#This Row],[Discount]]&gt;=15%,"HIGH",IF(Table1[[#This Row],[Discount]]&gt;=55,"MEDIUM","NONE"))</f>
        <v>NONE</v>
      </c>
      <c r="R93">
        <f>Table1[[#This Row],[Ship Date]]-Table1[[#This Row],[Order Date]]</f>
        <v>2</v>
      </c>
    </row>
    <row r="94" spans="1:18" x14ac:dyDescent="0.25">
      <c r="A94" s="3" t="s">
        <v>294</v>
      </c>
      <c r="B94" s="2" t="s">
        <v>295</v>
      </c>
      <c r="C94" s="2" t="s">
        <v>295</v>
      </c>
      <c r="D94" s="1" t="s">
        <v>24</v>
      </c>
      <c r="E94" s="1" t="s">
        <v>96</v>
      </c>
      <c r="F94" s="1" t="s">
        <v>18</v>
      </c>
      <c r="G94" s="1" t="s">
        <v>32</v>
      </c>
      <c r="H94" s="1" t="s">
        <v>61</v>
      </c>
      <c r="I94" s="1" t="s">
        <v>88</v>
      </c>
      <c r="J94" s="1">
        <v>21</v>
      </c>
      <c r="K94" s="15">
        <v>38.69</v>
      </c>
      <c r="L94" s="13">
        <v>0.05</v>
      </c>
      <c r="M94" s="10">
        <v>23.95</v>
      </c>
      <c r="N94" s="12">
        <f>(Table1[[#This Row],[Quantity]]*Table1[[#This Row],[Unit Price]])*(1-Table1[[#This Row],[Discount]])</f>
        <v>771.8655</v>
      </c>
      <c r="O94" s="12">
        <f>(Table1[[#This Row],[Unit Price]]-Table1[[#This Row],[Unit Cost]])*Table1[[#This Row],[Quantity]]</f>
        <v>309.53999999999996</v>
      </c>
      <c r="P94" s="17" t="str">
        <f t="shared" si="1"/>
        <v>Bulk</v>
      </c>
      <c r="Q94" t="str">
        <f>IF(Table1[[#This Row],[Discount]]&gt;=15%,"HIGH",IF(Table1[[#This Row],[Discount]]&gt;=55,"MEDIUM","NONE"))</f>
        <v>NONE</v>
      </c>
      <c r="R94">
        <f>Table1[[#This Row],[Ship Date]]-Table1[[#This Row],[Order Date]]</f>
        <v>0</v>
      </c>
    </row>
    <row r="95" spans="1:18" x14ac:dyDescent="0.25">
      <c r="A95" s="3" t="s">
        <v>296</v>
      </c>
      <c r="B95" s="2" t="s">
        <v>234</v>
      </c>
      <c r="C95" s="2" t="s">
        <v>281</v>
      </c>
      <c r="D95" s="1" t="s">
        <v>16</v>
      </c>
      <c r="E95" s="1" t="s">
        <v>133</v>
      </c>
      <c r="F95" s="1" t="s">
        <v>43</v>
      </c>
      <c r="G95" s="1" t="s">
        <v>32</v>
      </c>
      <c r="H95" s="1" t="s">
        <v>45</v>
      </c>
      <c r="I95" s="1" t="s">
        <v>83</v>
      </c>
      <c r="J95" s="1">
        <v>5</v>
      </c>
      <c r="K95" s="15">
        <v>642.36</v>
      </c>
      <c r="L95" s="13">
        <v>0</v>
      </c>
      <c r="M95" s="10">
        <v>364.32</v>
      </c>
      <c r="N95" s="12">
        <f>(Table1[[#This Row],[Quantity]]*Table1[[#This Row],[Unit Price]])*(1-Table1[[#This Row],[Discount]])</f>
        <v>3211.8</v>
      </c>
      <c r="O95" s="12">
        <f>(Table1[[#This Row],[Unit Price]]-Table1[[#This Row],[Unit Cost]])*Table1[[#This Row],[Quantity]]</f>
        <v>1390.2</v>
      </c>
      <c r="P95" s="17" t="str">
        <f t="shared" si="1"/>
        <v>Bulk</v>
      </c>
      <c r="Q95" t="str">
        <f>IF(Table1[[#This Row],[Discount]]&gt;=15%,"HIGH",IF(Table1[[#This Row],[Discount]]&gt;=55,"MEDIUM","NONE"))</f>
        <v>NONE</v>
      </c>
      <c r="R95">
        <f>Table1[[#This Row],[Ship Date]]-Table1[[#This Row],[Order Date]]</f>
        <v>5</v>
      </c>
    </row>
    <row r="96" spans="1:18" x14ac:dyDescent="0.25">
      <c r="A96" s="3" t="s">
        <v>297</v>
      </c>
      <c r="B96" s="2" t="s">
        <v>298</v>
      </c>
      <c r="C96" s="2" t="s">
        <v>136</v>
      </c>
      <c r="D96" s="1" t="s">
        <v>16</v>
      </c>
      <c r="E96" s="1" t="s">
        <v>91</v>
      </c>
      <c r="F96" s="1" t="s">
        <v>38</v>
      </c>
      <c r="G96" s="1" t="s">
        <v>44</v>
      </c>
      <c r="H96" s="1" t="s">
        <v>33</v>
      </c>
      <c r="I96" s="1" t="s">
        <v>51</v>
      </c>
      <c r="J96" s="1">
        <v>5</v>
      </c>
      <c r="K96" s="15">
        <v>22.53</v>
      </c>
      <c r="L96" s="13">
        <v>0.2</v>
      </c>
      <c r="M96" s="10">
        <v>13.37</v>
      </c>
      <c r="N96" s="12">
        <f>(Table1[[#This Row],[Quantity]]*Table1[[#This Row],[Unit Price]])*(1-Table1[[#This Row],[Discount]])</f>
        <v>90.12</v>
      </c>
      <c r="O96" s="12">
        <f>(Table1[[#This Row],[Unit Price]]-Table1[[#This Row],[Unit Cost]])*Table1[[#This Row],[Quantity]]</f>
        <v>45.800000000000011</v>
      </c>
      <c r="P96" s="17" t="str">
        <f t="shared" si="1"/>
        <v>Standard</v>
      </c>
      <c r="Q96" t="str">
        <f>IF(Table1[[#This Row],[Discount]]&gt;=15%,"HIGH",IF(Table1[[#This Row],[Discount]]&gt;=55,"MEDIUM","NONE"))</f>
        <v>HIGH</v>
      </c>
      <c r="R96">
        <f>Table1[[#This Row],[Ship Date]]-Table1[[#This Row],[Order Date]]</f>
        <v>4</v>
      </c>
    </row>
    <row r="97" spans="1:18" x14ac:dyDescent="0.25">
      <c r="A97" s="3" t="s">
        <v>299</v>
      </c>
      <c r="B97" s="2" t="s">
        <v>300</v>
      </c>
      <c r="C97" s="2" t="s">
        <v>301</v>
      </c>
      <c r="D97" s="1" t="s">
        <v>16</v>
      </c>
      <c r="E97" s="1" t="s">
        <v>117</v>
      </c>
      <c r="F97" s="1" t="s">
        <v>38</v>
      </c>
      <c r="G97" s="1" t="s">
        <v>26</v>
      </c>
      <c r="H97" s="1" t="s">
        <v>33</v>
      </c>
      <c r="I97" s="1" t="s">
        <v>51</v>
      </c>
      <c r="J97" s="1">
        <v>9</v>
      </c>
      <c r="K97" s="15">
        <v>3.99</v>
      </c>
      <c r="L97" s="13">
        <v>0.15</v>
      </c>
      <c r="M97" s="10">
        <v>2.61</v>
      </c>
      <c r="N97" s="12">
        <f>(Table1[[#This Row],[Quantity]]*Table1[[#This Row],[Unit Price]])*(1-Table1[[#This Row],[Discount]])</f>
        <v>30.523500000000002</v>
      </c>
      <c r="O97" s="12">
        <f>(Table1[[#This Row],[Unit Price]]-Table1[[#This Row],[Unit Cost]])*Table1[[#This Row],[Quantity]]</f>
        <v>12.420000000000003</v>
      </c>
      <c r="P97" s="17" t="str">
        <f t="shared" si="1"/>
        <v>Standard</v>
      </c>
      <c r="Q97" t="str">
        <f>IF(Table1[[#This Row],[Discount]]&gt;=15%,"HIGH",IF(Table1[[#This Row],[Discount]]&gt;=55,"MEDIUM","NONE"))</f>
        <v>HIGH</v>
      </c>
      <c r="R97">
        <f>Table1[[#This Row],[Ship Date]]-Table1[[#This Row],[Order Date]]</f>
        <v>4</v>
      </c>
    </row>
    <row r="98" spans="1:18" x14ac:dyDescent="0.25">
      <c r="A98" s="3" t="s">
        <v>302</v>
      </c>
      <c r="B98" s="2" t="s">
        <v>303</v>
      </c>
      <c r="C98" s="2" t="s">
        <v>216</v>
      </c>
      <c r="D98" s="1" t="s">
        <v>30</v>
      </c>
      <c r="E98" s="1" t="s">
        <v>109</v>
      </c>
      <c r="F98" s="1" t="s">
        <v>38</v>
      </c>
      <c r="G98" s="1" t="s">
        <v>67</v>
      </c>
      <c r="H98" s="1" t="s">
        <v>61</v>
      </c>
      <c r="I98" s="1" t="s">
        <v>169</v>
      </c>
      <c r="J98" s="1">
        <v>17</v>
      </c>
      <c r="K98" s="15">
        <v>27.72</v>
      </c>
      <c r="L98" s="13">
        <v>0.1</v>
      </c>
      <c r="M98" s="10">
        <v>15.55</v>
      </c>
      <c r="N98" s="12">
        <f>(Table1[[#This Row],[Quantity]]*Table1[[#This Row],[Unit Price]])*(1-Table1[[#This Row],[Discount]])</f>
        <v>424.11600000000004</v>
      </c>
      <c r="O98" s="12">
        <f>(Table1[[#This Row],[Unit Price]]-Table1[[#This Row],[Unit Cost]])*Table1[[#This Row],[Quantity]]</f>
        <v>206.88999999999996</v>
      </c>
      <c r="P98" s="17" t="str">
        <f t="shared" si="1"/>
        <v>Standard</v>
      </c>
      <c r="Q98" t="str">
        <f>IF(Table1[[#This Row],[Discount]]&gt;=15%,"HIGH",IF(Table1[[#This Row],[Discount]]&gt;=55,"MEDIUM","NONE"))</f>
        <v>NONE</v>
      </c>
      <c r="R98">
        <f>Table1[[#This Row],[Ship Date]]-Table1[[#This Row],[Order Date]]</f>
        <v>3</v>
      </c>
    </row>
    <row r="99" spans="1:18" x14ac:dyDescent="0.25">
      <c r="A99" s="3" t="s">
        <v>304</v>
      </c>
      <c r="B99" s="2" t="s">
        <v>15</v>
      </c>
      <c r="C99" s="2" t="s">
        <v>15</v>
      </c>
      <c r="D99" s="1" t="s">
        <v>24</v>
      </c>
      <c r="E99" s="1" t="s">
        <v>55</v>
      </c>
      <c r="F99" s="1" t="s">
        <v>60</v>
      </c>
      <c r="G99" s="1" t="s">
        <v>97</v>
      </c>
      <c r="H99" s="1" t="s">
        <v>20</v>
      </c>
      <c r="I99" s="1" t="s">
        <v>21</v>
      </c>
      <c r="J99" s="1">
        <v>4</v>
      </c>
      <c r="K99" s="15">
        <v>613.80999999999995</v>
      </c>
      <c r="L99" s="13">
        <v>0.05</v>
      </c>
      <c r="M99" s="10">
        <v>348.87</v>
      </c>
      <c r="N99" s="12">
        <f>(Table1[[#This Row],[Quantity]]*Table1[[#This Row],[Unit Price]])*(1-Table1[[#This Row],[Discount]])</f>
        <v>2332.4779999999996</v>
      </c>
      <c r="O99" s="12">
        <f>(Table1[[#This Row],[Unit Price]]-Table1[[#This Row],[Unit Cost]])*Table1[[#This Row],[Quantity]]</f>
        <v>1059.7599999999998</v>
      </c>
      <c r="P99" s="17" t="str">
        <f t="shared" si="1"/>
        <v>Bulk</v>
      </c>
      <c r="Q99" t="str">
        <f>IF(Table1[[#This Row],[Discount]]&gt;=15%,"HIGH",IF(Table1[[#This Row],[Discount]]&gt;=55,"MEDIUM","NONE"))</f>
        <v>NONE</v>
      </c>
      <c r="R99">
        <f>Table1[[#This Row],[Ship Date]]-Table1[[#This Row],[Order Date]]</f>
        <v>0</v>
      </c>
    </row>
    <row r="100" spans="1:18" x14ac:dyDescent="0.25">
      <c r="A100" s="3" t="s">
        <v>305</v>
      </c>
      <c r="B100" s="2" t="s">
        <v>306</v>
      </c>
      <c r="C100" s="2" t="s">
        <v>307</v>
      </c>
      <c r="D100" s="1" t="s">
        <v>30</v>
      </c>
      <c r="E100" s="1" t="s">
        <v>37</v>
      </c>
      <c r="F100" s="1" t="s">
        <v>25</v>
      </c>
      <c r="G100" s="1" t="s">
        <v>32</v>
      </c>
      <c r="H100" s="1" t="s">
        <v>45</v>
      </c>
      <c r="I100" s="1" t="s">
        <v>46</v>
      </c>
      <c r="J100" s="1">
        <v>20</v>
      </c>
      <c r="K100" s="15">
        <v>452.61</v>
      </c>
      <c r="L100" s="13">
        <v>0.05</v>
      </c>
      <c r="M100" s="10">
        <v>306.14</v>
      </c>
      <c r="N100" s="12">
        <f>(Table1[[#This Row],[Quantity]]*Table1[[#This Row],[Unit Price]])*(1-Table1[[#This Row],[Discount]])</f>
        <v>8599.59</v>
      </c>
      <c r="O100" s="12">
        <f>(Table1[[#This Row],[Unit Price]]-Table1[[#This Row],[Unit Cost]])*Table1[[#This Row],[Quantity]]</f>
        <v>2929.4000000000005</v>
      </c>
      <c r="P100" s="17" t="str">
        <f t="shared" si="1"/>
        <v>Standard</v>
      </c>
      <c r="Q100" t="str">
        <f>IF(Table1[[#This Row],[Discount]]&gt;=15%,"HIGH",IF(Table1[[#This Row],[Discount]]&gt;=55,"MEDIUM","NONE"))</f>
        <v>NONE</v>
      </c>
      <c r="R100">
        <f>Table1[[#This Row],[Ship Date]]-Table1[[#This Row],[Order Date]]</f>
        <v>2</v>
      </c>
    </row>
    <row r="101" spans="1:18" x14ac:dyDescent="0.25">
      <c r="A101" s="3" t="s">
        <v>308</v>
      </c>
      <c r="B101" s="2" t="s">
        <v>309</v>
      </c>
      <c r="C101" s="2" t="s">
        <v>310</v>
      </c>
      <c r="D101" s="1" t="s">
        <v>30</v>
      </c>
      <c r="E101" s="1" t="s">
        <v>87</v>
      </c>
      <c r="F101" s="1" t="s">
        <v>38</v>
      </c>
      <c r="G101" s="1" t="s">
        <v>97</v>
      </c>
      <c r="H101" s="1" t="s">
        <v>20</v>
      </c>
      <c r="I101" s="1" t="s">
        <v>151</v>
      </c>
      <c r="J101" s="1">
        <v>8</v>
      </c>
      <c r="K101" s="15">
        <v>525.89</v>
      </c>
      <c r="L101" s="13">
        <v>0.2</v>
      </c>
      <c r="M101" s="10">
        <v>348.86</v>
      </c>
      <c r="N101" s="12">
        <f>(Table1[[#This Row],[Quantity]]*Table1[[#This Row],[Unit Price]])*(1-Table1[[#This Row],[Discount]])</f>
        <v>3365.6959999999999</v>
      </c>
      <c r="O101" s="12">
        <f>(Table1[[#This Row],[Unit Price]]-Table1[[#This Row],[Unit Cost]])*Table1[[#This Row],[Quantity]]</f>
        <v>1416.2399999999998</v>
      </c>
      <c r="P101" s="17" t="str">
        <f t="shared" si="1"/>
        <v>Bulk</v>
      </c>
      <c r="Q101" t="str">
        <f>IF(Table1[[#This Row],[Discount]]&gt;=15%,"HIGH",IF(Table1[[#This Row],[Discount]]&gt;=55,"MEDIUM","NONE"))</f>
        <v>HIGH</v>
      </c>
      <c r="R101">
        <f>Table1[[#This Row],[Ship Date]]-Table1[[#This Row],[Order Date]]</f>
        <v>2</v>
      </c>
    </row>
    <row r="102" spans="1:18" x14ac:dyDescent="0.25">
      <c r="A102" s="3" t="s">
        <v>311</v>
      </c>
      <c r="B102" s="2" t="s">
        <v>312</v>
      </c>
      <c r="C102" s="2" t="s">
        <v>312</v>
      </c>
      <c r="D102" s="1" t="s">
        <v>24</v>
      </c>
      <c r="E102" s="1" t="s">
        <v>206</v>
      </c>
      <c r="F102" s="1" t="s">
        <v>18</v>
      </c>
      <c r="G102" s="1" t="s">
        <v>50</v>
      </c>
      <c r="H102" s="1" t="s">
        <v>61</v>
      </c>
      <c r="I102" s="1" t="s">
        <v>169</v>
      </c>
      <c r="J102" s="1">
        <v>16</v>
      </c>
      <c r="K102" s="15">
        <v>15.37</v>
      </c>
      <c r="L102" s="13">
        <v>0.2</v>
      </c>
      <c r="M102" s="10">
        <v>8.7799999999999994</v>
      </c>
      <c r="N102" s="12">
        <f>(Table1[[#This Row],[Quantity]]*Table1[[#This Row],[Unit Price]])*(1-Table1[[#This Row],[Discount]])</f>
        <v>196.73599999999999</v>
      </c>
      <c r="O102" s="12">
        <f>(Table1[[#This Row],[Unit Price]]-Table1[[#This Row],[Unit Cost]])*Table1[[#This Row],[Quantity]]</f>
        <v>105.44</v>
      </c>
      <c r="P102" s="17" t="str">
        <f t="shared" si="1"/>
        <v>Standard</v>
      </c>
      <c r="Q102" t="str">
        <f>IF(Table1[[#This Row],[Discount]]&gt;=15%,"HIGH",IF(Table1[[#This Row],[Discount]]&gt;=55,"MEDIUM","NONE"))</f>
        <v>HIGH</v>
      </c>
      <c r="R102">
        <f>Table1[[#This Row],[Ship Date]]-Table1[[#This Row],[Order Date]]</f>
        <v>0</v>
      </c>
    </row>
    <row r="103" spans="1:18" x14ac:dyDescent="0.25">
      <c r="A103" s="3" t="s">
        <v>313</v>
      </c>
      <c r="B103" s="2" t="s">
        <v>314</v>
      </c>
      <c r="C103" s="2" t="s">
        <v>314</v>
      </c>
      <c r="D103" s="1" t="s">
        <v>24</v>
      </c>
      <c r="E103" s="1" t="s">
        <v>109</v>
      </c>
      <c r="F103" s="1" t="s">
        <v>43</v>
      </c>
      <c r="G103" s="1" t="s">
        <v>32</v>
      </c>
      <c r="H103" s="1" t="s">
        <v>45</v>
      </c>
      <c r="I103" s="1" t="s">
        <v>83</v>
      </c>
      <c r="J103" s="1">
        <v>4</v>
      </c>
      <c r="K103" s="15">
        <v>364</v>
      </c>
      <c r="L103" s="13">
        <v>0.2</v>
      </c>
      <c r="M103" s="10">
        <v>260.75</v>
      </c>
      <c r="N103" s="12">
        <f>(Table1[[#This Row],[Quantity]]*Table1[[#This Row],[Unit Price]])*(1-Table1[[#This Row],[Discount]])</f>
        <v>1164.8</v>
      </c>
      <c r="O103" s="12">
        <f>(Table1[[#This Row],[Unit Price]]-Table1[[#This Row],[Unit Cost]])*Table1[[#This Row],[Quantity]]</f>
        <v>413</v>
      </c>
      <c r="P103" s="17" t="str">
        <f t="shared" si="1"/>
        <v>Bulk</v>
      </c>
      <c r="Q103" t="str">
        <f>IF(Table1[[#This Row],[Discount]]&gt;=15%,"HIGH",IF(Table1[[#This Row],[Discount]]&gt;=55,"MEDIUM","NONE"))</f>
        <v>HIGH</v>
      </c>
      <c r="R103">
        <f>Table1[[#This Row],[Ship Date]]-Table1[[#This Row],[Order Date]]</f>
        <v>0</v>
      </c>
    </row>
    <row r="104" spans="1:18" x14ac:dyDescent="0.25">
      <c r="A104" s="3" t="s">
        <v>315</v>
      </c>
      <c r="B104" s="2" t="s">
        <v>316</v>
      </c>
      <c r="C104" s="2" t="s">
        <v>317</v>
      </c>
      <c r="D104" s="1" t="s">
        <v>16</v>
      </c>
      <c r="E104" s="1" t="s">
        <v>109</v>
      </c>
      <c r="F104" s="1" t="s">
        <v>43</v>
      </c>
      <c r="G104" s="1" t="s">
        <v>19</v>
      </c>
      <c r="H104" s="1" t="s">
        <v>33</v>
      </c>
      <c r="I104" s="1" t="s">
        <v>39</v>
      </c>
      <c r="J104" s="1">
        <v>22</v>
      </c>
      <c r="K104" s="15">
        <v>20.32</v>
      </c>
      <c r="L104" s="13">
        <v>0.2</v>
      </c>
      <c r="M104" s="10">
        <v>11.73</v>
      </c>
      <c r="N104" s="12">
        <f>(Table1[[#This Row],[Quantity]]*Table1[[#This Row],[Unit Price]])*(1-Table1[[#This Row],[Discount]])</f>
        <v>357.63200000000006</v>
      </c>
      <c r="O104" s="12">
        <f>(Table1[[#This Row],[Unit Price]]-Table1[[#This Row],[Unit Cost]])*Table1[[#This Row],[Quantity]]</f>
        <v>188.98</v>
      </c>
      <c r="P104" s="17" t="str">
        <f t="shared" si="1"/>
        <v>Standard</v>
      </c>
      <c r="Q104" t="str">
        <f>IF(Table1[[#This Row],[Discount]]&gt;=15%,"HIGH",IF(Table1[[#This Row],[Discount]]&gt;=55,"MEDIUM","NONE"))</f>
        <v>HIGH</v>
      </c>
      <c r="R104">
        <f>Table1[[#This Row],[Ship Date]]-Table1[[#This Row],[Order Date]]</f>
        <v>6</v>
      </c>
    </row>
    <row r="105" spans="1:18" x14ac:dyDescent="0.25">
      <c r="A105" s="3" t="s">
        <v>318</v>
      </c>
      <c r="B105" s="2" t="s">
        <v>319</v>
      </c>
      <c r="C105" s="2" t="s">
        <v>319</v>
      </c>
      <c r="D105" s="1" t="s">
        <v>24</v>
      </c>
      <c r="E105" s="1" t="s">
        <v>112</v>
      </c>
      <c r="F105" s="1" t="s">
        <v>38</v>
      </c>
      <c r="G105" s="1" t="s">
        <v>26</v>
      </c>
      <c r="H105" s="1" t="s">
        <v>45</v>
      </c>
      <c r="I105" s="1" t="s">
        <v>143</v>
      </c>
      <c r="J105" s="1">
        <v>22</v>
      </c>
      <c r="K105" s="15">
        <v>673.8</v>
      </c>
      <c r="L105" s="13">
        <v>0</v>
      </c>
      <c r="M105" s="10">
        <v>375.47</v>
      </c>
      <c r="N105" s="12">
        <f>(Table1[[#This Row],[Quantity]]*Table1[[#This Row],[Unit Price]])*(1-Table1[[#This Row],[Discount]])</f>
        <v>14823.599999999999</v>
      </c>
      <c r="O105" s="12">
        <f>(Table1[[#This Row],[Unit Price]]-Table1[[#This Row],[Unit Cost]])*Table1[[#This Row],[Quantity]]</f>
        <v>6563.2599999999984</v>
      </c>
      <c r="P105" s="17" t="str">
        <f t="shared" si="1"/>
        <v>Bulk</v>
      </c>
      <c r="Q105" t="str">
        <f>IF(Table1[[#This Row],[Discount]]&gt;=15%,"HIGH",IF(Table1[[#This Row],[Discount]]&gt;=55,"MEDIUM","NONE"))</f>
        <v>NONE</v>
      </c>
      <c r="R105">
        <f>Table1[[#This Row],[Ship Date]]-Table1[[#This Row],[Order Date]]</f>
        <v>0</v>
      </c>
    </row>
    <row r="106" spans="1:18" x14ac:dyDescent="0.25">
      <c r="A106" s="3" t="s">
        <v>320</v>
      </c>
      <c r="B106" s="2" t="s">
        <v>321</v>
      </c>
      <c r="C106" s="2" t="s">
        <v>322</v>
      </c>
      <c r="D106" s="1" t="s">
        <v>16</v>
      </c>
      <c r="E106" s="1" t="s">
        <v>59</v>
      </c>
      <c r="F106" s="1" t="s">
        <v>25</v>
      </c>
      <c r="G106" s="1" t="s">
        <v>97</v>
      </c>
      <c r="H106" s="1" t="s">
        <v>33</v>
      </c>
      <c r="I106" s="1" t="s">
        <v>34</v>
      </c>
      <c r="J106" s="1">
        <v>5</v>
      </c>
      <c r="K106" s="15">
        <v>30.16</v>
      </c>
      <c r="L106" s="13">
        <v>0</v>
      </c>
      <c r="M106" s="10">
        <v>17.28</v>
      </c>
      <c r="N106" s="12">
        <f>(Table1[[#This Row],[Quantity]]*Table1[[#This Row],[Unit Price]])*(1-Table1[[#This Row],[Discount]])</f>
        <v>150.80000000000001</v>
      </c>
      <c r="O106" s="12">
        <f>(Table1[[#This Row],[Unit Price]]-Table1[[#This Row],[Unit Cost]])*Table1[[#This Row],[Quantity]]</f>
        <v>64.399999999999991</v>
      </c>
      <c r="P106" s="17" t="str">
        <f t="shared" si="1"/>
        <v>Bulk</v>
      </c>
      <c r="Q106" t="str">
        <f>IF(Table1[[#This Row],[Discount]]&gt;=15%,"HIGH",IF(Table1[[#This Row],[Discount]]&gt;=55,"MEDIUM","NONE"))</f>
        <v>NONE</v>
      </c>
      <c r="R106">
        <f>Table1[[#This Row],[Ship Date]]-Table1[[#This Row],[Order Date]]</f>
        <v>5</v>
      </c>
    </row>
    <row r="107" spans="1:18" x14ac:dyDescent="0.25">
      <c r="A107" s="3" t="s">
        <v>323</v>
      </c>
      <c r="B107" s="2" t="s">
        <v>115</v>
      </c>
      <c r="C107" s="2" t="s">
        <v>115</v>
      </c>
      <c r="D107" s="1" t="s">
        <v>24</v>
      </c>
      <c r="E107" s="1" t="s">
        <v>206</v>
      </c>
      <c r="F107" s="1" t="s">
        <v>25</v>
      </c>
      <c r="G107" s="1" t="s">
        <v>44</v>
      </c>
      <c r="H107" s="1" t="s">
        <v>61</v>
      </c>
      <c r="I107" s="1" t="s">
        <v>169</v>
      </c>
      <c r="J107" s="1">
        <v>11</v>
      </c>
      <c r="K107" s="15">
        <v>72.150000000000006</v>
      </c>
      <c r="L107" s="13">
        <v>0.1</v>
      </c>
      <c r="M107" s="10">
        <v>50.44</v>
      </c>
      <c r="N107" s="12">
        <f>(Table1[[#This Row],[Quantity]]*Table1[[#This Row],[Unit Price]])*(1-Table1[[#This Row],[Discount]])</f>
        <v>714.28500000000008</v>
      </c>
      <c r="O107" s="12">
        <f>(Table1[[#This Row],[Unit Price]]-Table1[[#This Row],[Unit Cost]])*Table1[[#This Row],[Quantity]]</f>
        <v>238.81000000000009</v>
      </c>
      <c r="P107" s="17" t="str">
        <f t="shared" si="1"/>
        <v>Standard</v>
      </c>
      <c r="Q107" t="str">
        <f>IF(Table1[[#This Row],[Discount]]&gt;=15%,"HIGH",IF(Table1[[#This Row],[Discount]]&gt;=55,"MEDIUM","NONE"))</f>
        <v>NONE</v>
      </c>
      <c r="R107">
        <f>Table1[[#This Row],[Ship Date]]-Table1[[#This Row],[Order Date]]</f>
        <v>0</v>
      </c>
    </row>
    <row r="108" spans="1:18" x14ac:dyDescent="0.25">
      <c r="A108" s="3" t="s">
        <v>324</v>
      </c>
      <c r="B108" s="2" t="s">
        <v>325</v>
      </c>
      <c r="C108" s="2" t="s">
        <v>325</v>
      </c>
      <c r="D108" s="1" t="s">
        <v>24</v>
      </c>
      <c r="E108" s="1" t="s">
        <v>37</v>
      </c>
      <c r="F108" s="1" t="s">
        <v>43</v>
      </c>
      <c r="G108" s="1" t="s">
        <v>82</v>
      </c>
      <c r="H108" s="1" t="s">
        <v>20</v>
      </c>
      <c r="I108" s="1" t="s">
        <v>151</v>
      </c>
      <c r="J108" s="1">
        <v>14</v>
      </c>
      <c r="K108" s="15">
        <v>608.51</v>
      </c>
      <c r="L108" s="13">
        <v>0.05</v>
      </c>
      <c r="M108" s="10">
        <v>397.69</v>
      </c>
      <c r="N108" s="12">
        <f>(Table1[[#This Row],[Quantity]]*Table1[[#This Row],[Unit Price]])*(1-Table1[[#This Row],[Discount]])</f>
        <v>8093.1829999999991</v>
      </c>
      <c r="O108" s="12">
        <f>(Table1[[#This Row],[Unit Price]]-Table1[[#This Row],[Unit Cost]])*Table1[[#This Row],[Quantity]]</f>
        <v>2951.48</v>
      </c>
      <c r="P108" s="17" t="str">
        <f t="shared" si="1"/>
        <v>Bulk</v>
      </c>
      <c r="Q108" t="str">
        <f>IF(Table1[[#This Row],[Discount]]&gt;=15%,"HIGH",IF(Table1[[#This Row],[Discount]]&gt;=55,"MEDIUM","NONE"))</f>
        <v>NONE</v>
      </c>
      <c r="R108">
        <f>Table1[[#This Row],[Ship Date]]-Table1[[#This Row],[Order Date]]</f>
        <v>0</v>
      </c>
    </row>
    <row r="109" spans="1:18" x14ac:dyDescent="0.25">
      <c r="A109" s="3" t="s">
        <v>326</v>
      </c>
      <c r="B109" s="2" t="s">
        <v>327</v>
      </c>
      <c r="C109" s="2" t="s">
        <v>327</v>
      </c>
      <c r="D109" s="1" t="s">
        <v>24</v>
      </c>
      <c r="E109" s="1" t="s">
        <v>109</v>
      </c>
      <c r="F109" s="1" t="s">
        <v>18</v>
      </c>
      <c r="G109" s="1" t="s">
        <v>82</v>
      </c>
      <c r="H109" s="1" t="s">
        <v>61</v>
      </c>
      <c r="I109" s="1" t="s">
        <v>106</v>
      </c>
      <c r="J109" s="1">
        <v>22</v>
      </c>
      <c r="K109" s="15">
        <v>34.67</v>
      </c>
      <c r="L109" s="13">
        <v>0</v>
      </c>
      <c r="M109" s="10">
        <v>22.49</v>
      </c>
      <c r="N109" s="12">
        <f>(Table1[[#This Row],[Quantity]]*Table1[[#This Row],[Unit Price]])*(1-Table1[[#This Row],[Discount]])</f>
        <v>762.74</v>
      </c>
      <c r="O109" s="12">
        <f>(Table1[[#This Row],[Unit Price]]-Table1[[#This Row],[Unit Cost]])*Table1[[#This Row],[Quantity]]</f>
        <v>267.96000000000009</v>
      </c>
      <c r="P109" s="17" t="str">
        <f t="shared" si="1"/>
        <v>Bulk</v>
      </c>
      <c r="Q109" t="str">
        <f>IF(Table1[[#This Row],[Discount]]&gt;=15%,"HIGH",IF(Table1[[#This Row],[Discount]]&gt;=55,"MEDIUM","NONE"))</f>
        <v>NONE</v>
      </c>
      <c r="R109">
        <f>Table1[[#This Row],[Ship Date]]-Table1[[#This Row],[Order Date]]</f>
        <v>0</v>
      </c>
    </row>
    <row r="110" spans="1:18" x14ac:dyDescent="0.25">
      <c r="A110" s="3" t="s">
        <v>328</v>
      </c>
      <c r="B110" s="2" t="s">
        <v>329</v>
      </c>
      <c r="C110" s="2" t="s">
        <v>330</v>
      </c>
      <c r="D110" s="1" t="s">
        <v>30</v>
      </c>
      <c r="E110" s="1" t="s">
        <v>37</v>
      </c>
      <c r="F110" s="1" t="s">
        <v>25</v>
      </c>
      <c r="G110" s="1" t="s">
        <v>44</v>
      </c>
      <c r="H110" s="1" t="s">
        <v>33</v>
      </c>
      <c r="I110" s="1" t="s">
        <v>51</v>
      </c>
      <c r="J110" s="1">
        <v>4</v>
      </c>
      <c r="K110" s="15">
        <v>2.29</v>
      </c>
      <c r="L110" s="13">
        <v>0.15</v>
      </c>
      <c r="M110" s="10">
        <v>1.51</v>
      </c>
      <c r="N110" s="12">
        <f>(Table1[[#This Row],[Quantity]]*Table1[[#This Row],[Unit Price]])*(1-Table1[[#This Row],[Discount]])</f>
        <v>7.7859999999999996</v>
      </c>
      <c r="O110" s="12">
        <f>(Table1[[#This Row],[Unit Price]]-Table1[[#This Row],[Unit Cost]])*Table1[[#This Row],[Quantity]]</f>
        <v>3.12</v>
      </c>
      <c r="P110" s="17" t="str">
        <f t="shared" si="1"/>
        <v>Bulk</v>
      </c>
      <c r="Q110" t="str">
        <f>IF(Table1[[#This Row],[Discount]]&gt;=15%,"HIGH",IF(Table1[[#This Row],[Discount]]&gt;=55,"MEDIUM","NONE"))</f>
        <v>HIGH</v>
      </c>
      <c r="R110">
        <f>Table1[[#This Row],[Ship Date]]-Table1[[#This Row],[Order Date]]</f>
        <v>3</v>
      </c>
    </row>
    <row r="111" spans="1:18" x14ac:dyDescent="0.25">
      <c r="A111" s="3" t="s">
        <v>331</v>
      </c>
      <c r="B111" s="2" t="s">
        <v>194</v>
      </c>
      <c r="C111" s="2" t="s">
        <v>332</v>
      </c>
      <c r="D111" s="1" t="s">
        <v>30</v>
      </c>
      <c r="E111" s="1" t="s">
        <v>206</v>
      </c>
      <c r="F111" s="1" t="s">
        <v>38</v>
      </c>
      <c r="G111" s="1" t="s">
        <v>67</v>
      </c>
      <c r="H111" s="1" t="s">
        <v>45</v>
      </c>
      <c r="I111" s="1" t="s">
        <v>83</v>
      </c>
      <c r="J111" s="1">
        <v>24</v>
      </c>
      <c r="K111" s="15">
        <v>91.3</v>
      </c>
      <c r="L111" s="13">
        <v>0</v>
      </c>
      <c r="M111" s="10">
        <v>60.71</v>
      </c>
      <c r="N111" s="12">
        <f>(Table1[[#This Row],[Quantity]]*Table1[[#This Row],[Unit Price]])*(1-Table1[[#This Row],[Discount]])</f>
        <v>2191.1999999999998</v>
      </c>
      <c r="O111" s="12">
        <f>(Table1[[#This Row],[Unit Price]]-Table1[[#This Row],[Unit Cost]])*Table1[[#This Row],[Quantity]]</f>
        <v>734.15999999999985</v>
      </c>
      <c r="P111" s="17" t="str">
        <f t="shared" si="1"/>
        <v>Standard</v>
      </c>
      <c r="Q111" t="str">
        <f>IF(Table1[[#This Row],[Discount]]&gt;=15%,"HIGH",IF(Table1[[#This Row],[Discount]]&gt;=55,"MEDIUM","NONE"))</f>
        <v>NONE</v>
      </c>
      <c r="R111">
        <f>Table1[[#This Row],[Ship Date]]-Table1[[#This Row],[Order Date]]</f>
        <v>3</v>
      </c>
    </row>
    <row r="112" spans="1:18" x14ac:dyDescent="0.25">
      <c r="A112" s="3" t="s">
        <v>333</v>
      </c>
      <c r="B112" s="2" t="s">
        <v>334</v>
      </c>
      <c r="C112" s="2" t="s">
        <v>335</v>
      </c>
      <c r="D112" s="1" t="s">
        <v>16</v>
      </c>
      <c r="E112" s="1" t="s">
        <v>31</v>
      </c>
      <c r="F112" s="1" t="s">
        <v>60</v>
      </c>
      <c r="G112" s="1" t="s">
        <v>44</v>
      </c>
      <c r="H112" s="1" t="s">
        <v>61</v>
      </c>
      <c r="I112" s="1" t="s">
        <v>72</v>
      </c>
      <c r="J112" s="1">
        <v>13</v>
      </c>
      <c r="K112" s="15">
        <v>11.67</v>
      </c>
      <c r="L112" s="13">
        <v>0</v>
      </c>
      <c r="M112" s="10">
        <v>6.92</v>
      </c>
      <c r="N112" s="12">
        <f>(Table1[[#This Row],[Quantity]]*Table1[[#This Row],[Unit Price]])*(1-Table1[[#This Row],[Discount]])</f>
        <v>151.71</v>
      </c>
      <c r="O112" s="12">
        <f>(Table1[[#This Row],[Unit Price]]-Table1[[#This Row],[Unit Cost]])*Table1[[#This Row],[Quantity]]</f>
        <v>61.75</v>
      </c>
      <c r="P112" s="17" t="str">
        <f t="shared" si="1"/>
        <v>Bulk</v>
      </c>
      <c r="Q112" t="str">
        <f>IF(Table1[[#This Row],[Discount]]&gt;=15%,"HIGH",IF(Table1[[#This Row],[Discount]]&gt;=55,"MEDIUM","NONE"))</f>
        <v>NONE</v>
      </c>
      <c r="R112">
        <f>Table1[[#This Row],[Ship Date]]-Table1[[#This Row],[Order Date]]</f>
        <v>7</v>
      </c>
    </row>
    <row r="113" spans="1:18" x14ac:dyDescent="0.25">
      <c r="A113" s="3" t="s">
        <v>336</v>
      </c>
      <c r="B113" s="2" t="s">
        <v>337</v>
      </c>
      <c r="C113" s="2" t="s">
        <v>337</v>
      </c>
      <c r="D113" s="1" t="s">
        <v>24</v>
      </c>
      <c r="E113" s="1" t="s">
        <v>31</v>
      </c>
      <c r="F113" s="1" t="s">
        <v>25</v>
      </c>
      <c r="G113" s="1" t="s">
        <v>97</v>
      </c>
      <c r="H113" s="1" t="s">
        <v>61</v>
      </c>
      <c r="I113" s="1" t="s">
        <v>106</v>
      </c>
      <c r="J113" s="1">
        <v>3</v>
      </c>
      <c r="K113" s="15">
        <v>41.66</v>
      </c>
      <c r="L113" s="13">
        <v>0</v>
      </c>
      <c r="M113" s="10">
        <v>30.68</v>
      </c>
      <c r="N113" s="12">
        <f>(Table1[[#This Row],[Quantity]]*Table1[[#This Row],[Unit Price]])*(1-Table1[[#This Row],[Discount]])</f>
        <v>124.97999999999999</v>
      </c>
      <c r="O113" s="12">
        <f>(Table1[[#This Row],[Unit Price]]-Table1[[#This Row],[Unit Cost]])*Table1[[#This Row],[Quantity]]</f>
        <v>32.939999999999991</v>
      </c>
      <c r="P113" s="17" t="str">
        <f t="shared" si="1"/>
        <v>Bulk</v>
      </c>
      <c r="Q113" t="str">
        <f>IF(Table1[[#This Row],[Discount]]&gt;=15%,"HIGH",IF(Table1[[#This Row],[Discount]]&gt;=55,"MEDIUM","NONE"))</f>
        <v>NONE</v>
      </c>
      <c r="R113">
        <f>Table1[[#This Row],[Ship Date]]-Table1[[#This Row],[Order Date]]</f>
        <v>0</v>
      </c>
    </row>
    <row r="114" spans="1:18" x14ac:dyDescent="0.25">
      <c r="A114" s="3" t="s">
        <v>338</v>
      </c>
      <c r="B114" s="2" t="s">
        <v>339</v>
      </c>
      <c r="C114" s="2" t="s">
        <v>268</v>
      </c>
      <c r="D114" s="1" t="s">
        <v>30</v>
      </c>
      <c r="E114" s="1" t="s">
        <v>71</v>
      </c>
      <c r="F114" s="1" t="s">
        <v>43</v>
      </c>
      <c r="G114" s="1" t="s">
        <v>19</v>
      </c>
      <c r="H114" s="1" t="s">
        <v>20</v>
      </c>
      <c r="I114" s="1" t="s">
        <v>192</v>
      </c>
      <c r="J114" s="1">
        <v>12</v>
      </c>
      <c r="K114" s="15">
        <v>886.49</v>
      </c>
      <c r="L114" s="13">
        <v>0.2</v>
      </c>
      <c r="M114" s="10">
        <v>630.61</v>
      </c>
      <c r="N114" s="12">
        <f>(Table1[[#This Row],[Quantity]]*Table1[[#This Row],[Unit Price]])*(1-Table1[[#This Row],[Discount]])</f>
        <v>8510.3040000000019</v>
      </c>
      <c r="O114" s="12">
        <f>(Table1[[#This Row],[Unit Price]]-Table1[[#This Row],[Unit Cost]])*Table1[[#This Row],[Quantity]]</f>
        <v>3070.56</v>
      </c>
      <c r="P114" s="17" t="str">
        <f t="shared" si="1"/>
        <v>Standard</v>
      </c>
      <c r="Q114" t="str">
        <f>IF(Table1[[#This Row],[Discount]]&gt;=15%,"HIGH",IF(Table1[[#This Row],[Discount]]&gt;=55,"MEDIUM","NONE"))</f>
        <v>HIGH</v>
      </c>
      <c r="R114">
        <f>Table1[[#This Row],[Ship Date]]-Table1[[#This Row],[Order Date]]</f>
        <v>2</v>
      </c>
    </row>
    <row r="115" spans="1:18" x14ac:dyDescent="0.25">
      <c r="A115" s="3" t="s">
        <v>340</v>
      </c>
      <c r="B115" s="2" t="s">
        <v>341</v>
      </c>
      <c r="C115" s="2" t="s">
        <v>341</v>
      </c>
      <c r="D115" s="1" t="s">
        <v>24</v>
      </c>
      <c r="E115" s="1" t="s">
        <v>78</v>
      </c>
      <c r="F115" s="1" t="s">
        <v>25</v>
      </c>
      <c r="G115" s="1" t="s">
        <v>50</v>
      </c>
      <c r="H115" s="1" t="s">
        <v>45</v>
      </c>
      <c r="I115" s="1" t="s">
        <v>148</v>
      </c>
      <c r="J115" s="1">
        <v>3</v>
      </c>
      <c r="K115" s="15">
        <v>191.09</v>
      </c>
      <c r="L115" s="13">
        <v>0.2</v>
      </c>
      <c r="M115" s="10">
        <v>135.1</v>
      </c>
      <c r="N115" s="12">
        <f>(Table1[[#This Row],[Quantity]]*Table1[[#This Row],[Unit Price]])*(1-Table1[[#This Row],[Discount]])</f>
        <v>458.61599999999999</v>
      </c>
      <c r="O115" s="12">
        <f>(Table1[[#This Row],[Unit Price]]-Table1[[#This Row],[Unit Cost]])*Table1[[#This Row],[Quantity]]</f>
        <v>167.97000000000003</v>
      </c>
      <c r="P115" s="17" t="str">
        <f t="shared" si="1"/>
        <v>Bulk</v>
      </c>
      <c r="Q115" t="str">
        <f>IF(Table1[[#This Row],[Discount]]&gt;=15%,"HIGH",IF(Table1[[#This Row],[Discount]]&gt;=55,"MEDIUM","NONE"))</f>
        <v>HIGH</v>
      </c>
      <c r="R115">
        <f>Table1[[#This Row],[Ship Date]]-Table1[[#This Row],[Order Date]]</f>
        <v>0</v>
      </c>
    </row>
    <row r="116" spans="1:18" x14ac:dyDescent="0.25">
      <c r="A116" s="3" t="s">
        <v>342</v>
      </c>
      <c r="B116" s="2" t="s">
        <v>343</v>
      </c>
      <c r="C116" s="2" t="s">
        <v>344</v>
      </c>
      <c r="D116" s="1" t="s">
        <v>30</v>
      </c>
      <c r="E116" s="1" t="s">
        <v>75</v>
      </c>
      <c r="F116" s="1" t="s">
        <v>25</v>
      </c>
      <c r="G116" s="1" t="s">
        <v>67</v>
      </c>
      <c r="H116" s="1" t="s">
        <v>33</v>
      </c>
      <c r="I116" s="1" t="s">
        <v>39</v>
      </c>
      <c r="J116" s="1">
        <v>15</v>
      </c>
      <c r="K116" s="15">
        <v>25.99</v>
      </c>
      <c r="L116" s="13">
        <v>0.2</v>
      </c>
      <c r="M116" s="10">
        <v>16.079999999999998</v>
      </c>
      <c r="N116" s="12">
        <f>(Table1[[#This Row],[Quantity]]*Table1[[#This Row],[Unit Price]])*(1-Table1[[#This Row],[Discount]])</f>
        <v>311.88</v>
      </c>
      <c r="O116" s="12">
        <f>(Table1[[#This Row],[Unit Price]]-Table1[[#This Row],[Unit Cost]])*Table1[[#This Row],[Quantity]]</f>
        <v>148.65</v>
      </c>
      <c r="P116" s="17" t="str">
        <f t="shared" si="1"/>
        <v>Standard</v>
      </c>
      <c r="Q116" t="str">
        <f>IF(Table1[[#This Row],[Discount]]&gt;=15%,"HIGH",IF(Table1[[#This Row],[Discount]]&gt;=55,"MEDIUM","NONE"))</f>
        <v>HIGH</v>
      </c>
      <c r="R116">
        <f>Table1[[#This Row],[Ship Date]]-Table1[[#This Row],[Order Date]]</f>
        <v>3</v>
      </c>
    </row>
    <row r="117" spans="1:18" x14ac:dyDescent="0.25">
      <c r="A117" s="3" t="s">
        <v>345</v>
      </c>
      <c r="B117" s="2" t="s">
        <v>346</v>
      </c>
      <c r="C117" s="2" t="s">
        <v>347</v>
      </c>
      <c r="D117" s="1" t="s">
        <v>16</v>
      </c>
      <c r="E117" s="1" t="s">
        <v>75</v>
      </c>
      <c r="F117" s="1" t="s">
        <v>60</v>
      </c>
      <c r="G117" s="1" t="s">
        <v>26</v>
      </c>
      <c r="H117" s="1" t="s">
        <v>20</v>
      </c>
      <c r="I117" s="1" t="s">
        <v>134</v>
      </c>
      <c r="J117" s="1">
        <v>12</v>
      </c>
      <c r="K117" s="15">
        <v>1006.45</v>
      </c>
      <c r="L117" s="13">
        <v>0</v>
      </c>
      <c r="M117" s="10">
        <v>715.75</v>
      </c>
      <c r="N117" s="12">
        <f>(Table1[[#This Row],[Quantity]]*Table1[[#This Row],[Unit Price]])*(1-Table1[[#This Row],[Discount]])</f>
        <v>12077.400000000001</v>
      </c>
      <c r="O117" s="12">
        <f>(Table1[[#This Row],[Unit Price]]-Table1[[#This Row],[Unit Cost]])*Table1[[#This Row],[Quantity]]</f>
        <v>3488.4000000000005</v>
      </c>
      <c r="P117" s="17" t="str">
        <f t="shared" si="1"/>
        <v>Bulk</v>
      </c>
      <c r="Q117" t="str">
        <f>IF(Table1[[#This Row],[Discount]]&gt;=15%,"HIGH",IF(Table1[[#This Row],[Discount]]&gt;=55,"MEDIUM","NONE"))</f>
        <v>NONE</v>
      </c>
      <c r="R117">
        <f>Table1[[#This Row],[Ship Date]]-Table1[[#This Row],[Order Date]]</f>
        <v>4</v>
      </c>
    </row>
    <row r="118" spans="1:18" x14ac:dyDescent="0.25">
      <c r="A118" s="3" t="s">
        <v>348</v>
      </c>
      <c r="B118" s="2" t="s">
        <v>274</v>
      </c>
      <c r="C118" s="2" t="s">
        <v>274</v>
      </c>
      <c r="D118" s="1" t="s">
        <v>24</v>
      </c>
      <c r="E118" s="1" t="s">
        <v>87</v>
      </c>
      <c r="F118" s="1" t="s">
        <v>38</v>
      </c>
      <c r="G118" s="1" t="s">
        <v>32</v>
      </c>
      <c r="H118" s="1" t="s">
        <v>20</v>
      </c>
      <c r="I118" s="1" t="s">
        <v>139</v>
      </c>
      <c r="J118" s="1">
        <v>16</v>
      </c>
      <c r="K118" s="15">
        <v>626.57000000000005</v>
      </c>
      <c r="L118" s="13">
        <v>0</v>
      </c>
      <c r="M118" s="10">
        <v>415.18</v>
      </c>
      <c r="N118" s="12">
        <f>(Table1[[#This Row],[Quantity]]*Table1[[#This Row],[Unit Price]])*(1-Table1[[#This Row],[Discount]])</f>
        <v>10025.120000000001</v>
      </c>
      <c r="O118" s="12">
        <f>(Table1[[#This Row],[Unit Price]]-Table1[[#This Row],[Unit Cost]])*Table1[[#This Row],[Quantity]]</f>
        <v>3382.2400000000007</v>
      </c>
      <c r="P118" s="17" t="str">
        <f t="shared" si="1"/>
        <v>Bulk</v>
      </c>
      <c r="Q118" t="str">
        <f>IF(Table1[[#This Row],[Discount]]&gt;=15%,"HIGH",IF(Table1[[#This Row],[Discount]]&gt;=55,"MEDIUM","NONE"))</f>
        <v>NONE</v>
      </c>
      <c r="R118">
        <f>Table1[[#This Row],[Ship Date]]-Table1[[#This Row],[Order Date]]</f>
        <v>0</v>
      </c>
    </row>
    <row r="119" spans="1:18" x14ac:dyDescent="0.25">
      <c r="A119" s="3" t="s">
        <v>349</v>
      </c>
      <c r="B119" s="2" t="s">
        <v>350</v>
      </c>
      <c r="C119" s="2" t="s">
        <v>350</v>
      </c>
      <c r="D119" s="1" t="s">
        <v>24</v>
      </c>
      <c r="E119" s="1" t="s">
        <v>75</v>
      </c>
      <c r="F119" s="1" t="s">
        <v>25</v>
      </c>
      <c r="G119" s="1" t="s">
        <v>82</v>
      </c>
      <c r="H119" s="1" t="s">
        <v>45</v>
      </c>
      <c r="I119" s="1" t="s">
        <v>46</v>
      </c>
      <c r="J119" s="1">
        <v>17</v>
      </c>
      <c r="K119" s="15">
        <v>511.26</v>
      </c>
      <c r="L119" s="13">
        <v>0</v>
      </c>
      <c r="M119" s="10">
        <v>328.85</v>
      </c>
      <c r="N119" s="12">
        <f>(Table1[[#This Row],[Quantity]]*Table1[[#This Row],[Unit Price]])*(1-Table1[[#This Row],[Discount]])</f>
        <v>8691.42</v>
      </c>
      <c r="O119" s="12">
        <f>(Table1[[#This Row],[Unit Price]]-Table1[[#This Row],[Unit Cost]])*Table1[[#This Row],[Quantity]]</f>
        <v>3100.9699999999993</v>
      </c>
      <c r="P119" s="17" t="str">
        <f t="shared" si="1"/>
        <v>Bulk</v>
      </c>
      <c r="Q119" t="str">
        <f>IF(Table1[[#This Row],[Discount]]&gt;=15%,"HIGH",IF(Table1[[#This Row],[Discount]]&gt;=55,"MEDIUM","NONE"))</f>
        <v>NONE</v>
      </c>
      <c r="R119">
        <f>Table1[[#This Row],[Ship Date]]-Table1[[#This Row],[Order Date]]</f>
        <v>0</v>
      </c>
    </row>
    <row r="120" spans="1:18" x14ac:dyDescent="0.25">
      <c r="A120" s="3" t="s">
        <v>351</v>
      </c>
      <c r="B120" s="2" t="s">
        <v>352</v>
      </c>
      <c r="C120" s="2" t="s">
        <v>353</v>
      </c>
      <c r="D120" s="1" t="s">
        <v>30</v>
      </c>
      <c r="E120" s="1" t="s">
        <v>117</v>
      </c>
      <c r="F120" s="1" t="s">
        <v>43</v>
      </c>
      <c r="G120" s="1" t="s">
        <v>67</v>
      </c>
      <c r="H120" s="1" t="s">
        <v>33</v>
      </c>
      <c r="I120" s="1" t="s">
        <v>153</v>
      </c>
      <c r="J120" s="1">
        <v>4</v>
      </c>
      <c r="K120" s="15">
        <v>23.2</v>
      </c>
      <c r="L120" s="13">
        <v>0.05</v>
      </c>
      <c r="M120" s="10">
        <v>14.41</v>
      </c>
      <c r="N120" s="12">
        <f>(Table1[[#This Row],[Quantity]]*Table1[[#This Row],[Unit Price]])*(1-Table1[[#This Row],[Discount]])</f>
        <v>88.16</v>
      </c>
      <c r="O120" s="12">
        <f>(Table1[[#This Row],[Unit Price]]-Table1[[#This Row],[Unit Cost]])*Table1[[#This Row],[Quantity]]</f>
        <v>35.159999999999997</v>
      </c>
      <c r="P120" s="17" t="str">
        <f t="shared" si="1"/>
        <v>Bulk</v>
      </c>
      <c r="Q120" t="str">
        <f>IF(Table1[[#This Row],[Discount]]&gt;=15%,"HIGH",IF(Table1[[#This Row],[Discount]]&gt;=55,"MEDIUM","NONE"))</f>
        <v>NONE</v>
      </c>
      <c r="R120">
        <f>Table1[[#This Row],[Ship Date]]-Table1[[#This Row],[Order Date]]</f>
        <v>3</v>
      </c>
    </row>
    <row r="121" spans="1:18" x14ac:dyDescent="0.25">
      <c r="A121" s="3" t="s">
        <v>354</v>
      </c>
      <c r="B121" s="2" t="s">
        <v>355</v>
      </c>
      <c r="C121" s="2" t="s">
        <v>355</v>
      </c>
      <c r="D121" s="1" t="s">
        <v>24</v>
      </c>
      <c r="E121" s="1" t="s">
        <v>55</v>
      </c>
      <c r="F121" s="1" t="s">
        <v>18</v>
      </c>
      <c r="G121" s="1" t="s">
        <v>50</v>
      </c>
      <c r="H121" s="1" t="s">
        <v>45</v>
      </c>
      <c r="I121" s="1" t="s">
        <v>148</v>
      </c>
      <c r="J121" s="1">
        <v>23</v>
      </c>
      <c r="K121" s="15">
        <v>754.12</v>
      </c>
      <c r="L121" s="13">
        <v>0</v>
      </c>
      <c r="M121" s="10">
        <v>520.14</v>
      </c>
      <c r="N121" s="12">
        <f>(Table1[[#This Row],[Quantity]]*Table1[[#This Row],[Unit Price]])*(1-Table1[[#This Row],[Discount]])</f>
        <v>17344.759999999998</v>
      </c>
      <c r="O121" s="12">
        <f>(Table1[[#This Row],[Unit Price]]-Table1[[#This Row],[Unit Cost]])*Table1[[#This Row],[Quantity]]</f>
        <v>5381.5400000000009</v>
      </c>
      <c r="P121" s="17" t="str">
        <f t="shared" si="1"/>
        <v>Standard</v>
      </c>
      <c r="Q121" t="str">
        <f>IF(Table1[[#This Row],[Discount]]&gt;=15%,"HIGH",IF(Table1[[#This Row],[Discount]]&gt;=55,"MEDIUM","NONE"))</f>
        <v>NONE</v>
      </c>
      <c r="R121">
        <f>Table1[[#This Row],[Ship Date]]-Table1[[#This Row],[Order Date]]</f>
        <v>0</v>
      </c>
    </row>
    <row r="122" spans="1:18" x14ac:dyDescent="0.25">
      <c r="A122" s="3" t="s">
        <v>356</v>
      </c>
      <c r="B122" s="2" t="s">
        <v>292</v>
      </c>
      <c r="C122" s="2" t="s">
        <v>357</v>
      </c>
      <c r="D122" s="1" t="s">
        <v>16</v>
      </c>
      <c r="E122" s="1" t="s">
        <v>71</v>
      </c>
      <c r="F122" s="1" t="s">
        <v>60</v>
      </c>
      <c r="G122" s="1" t="s">
        <v>32</v>
      </c>
      <c r="H122" s="1" t="s">
        <v>20</v>
      </c>
      <c r="I122" s="1" t="s">
        <v>151</v>
      </c>
      <c r="J122" s="1">
        <v>12</v>
      </c>
      <c r="K122" s="15">
        <v>405.2</v>
      </c>
      <c r="L122" s="13">
        <v>0</v>
      </c>
      <c r="M122" s="10">
        <v>257.48</v>
      </c>
      <c r="N122" s="12">
        <f>(Table1[[#This Row],[Quantity]]*Table1[[#This Row],[Unit Price]])*(1-Table1[[#This Row],[Discount]])</f>
        <v>4862.3999999999996</v>
      </c>
      <c r="O122" s="12">
        <f>(Table1[[#This Row],[Unit Price]]-Table1[[#This Row],[Unit Cost]])*Table1[[#This Row],[Quantity]]</f>
        <v>1772.6399999999996</v>
      </c>
      <c r="P122" s="17" t="str">
        <f t="shared" si="1"/>
        <v>Bulk</v>
      </c>
      <c r="Q122" t="str">
        <f>IF(Table1[[#This Row],[Discount]]&gt;=15%,"HIGH",IF(Table1[[#This Row],[Discount]]&gt;=55,"MEDIUM","NONE"))</f>
        <v>NONE</v>
      </c>
      <c r="R122">
        <f>Table1[[#This Row],[Ship Date]]-Table1[[#This Row],[Order Date]]</f>
        <v>7</v>
      </c>
    </row>
    <row r="123" spans="1:18" x14ac:dyDescent="0.25">
      <c r="A123" s="3" t="s">
        <v>358</v>
      </c>
      <c r="B123" s="2" t="s">
        <v>359</v>
      </c>
      <c r="C123" s="2" t="s">
        <v>359</v>
      </c>
      <c r="D123" s="1" t="s">
        <v>24</v>
      </c>
      <c r="E123" s="1" t="s">
        <v>214</v>
      </c>
      <c r="F123" s="1" t="s">
        <v>43</v>
      </c>
      <c r="G123" s="1" t="s">
        <v>67</v>
      </c>
      <c r="H123" s="1" t="s">
        <v>45</v>
      </c>
      <c r="I123" s="1" t="s">
        <v>68</v>
      </c>
      <c r="J123" s="1">
        <v>25</v>
      </c>
      <c r="K123" s="15">
        <v>459.43</v>
      </c>
      <c r="L123" s="13">
        <v>0.15</v>
      </c>
      <c r="M123" s="10">
        <v>354.18</v>
      </c>
      <c r="N123" s="12">
        <f>(Table1[[#This Row],[Quantity]]*Table1[[#This Row],[Unit Price]])*(1-Table1[[#This Row],[Discount]])</f>
        <v>9762.8874999999989</v>
      </c>
      <c r="O123" s="12">
        <f>(Table1[[#This Row],[Unit Price]]-Table1[[#This Row],[Unit Cost]])*Table1[[#This Row],[Quantity]]</f>
        <v>2631.25</v>
      </c>
      <c r="P123" s="17" t="str">
        <f t="shared" si="1"/>
        <v>Bulk</v>
      </c>
      <c r="Q123" t="str">
        <f>IF(Table1[[#This Row],[Discount]]&gt;=15%,"HIGH",IF(Table1[[#This Row],[Discount]]&gt;=55,"MEDIUM","NONE"))</f>
        <v>HIGH</v>
      </c>
      <c r="R123">
        <f>Table1[[#This Row],[Ship Date]]-Table1[[#This Row],[Order Date]]</f>
        <v>0</v>
      </c>
    </row>
    <row r="124" spans="1:18" x14ac:dyDescent="0.25">
      <c r="A124" s="3" t="s">
        <v>360</v>
      </c>
      <c r="B124" s="2" t="s">
        <v>264</v>
      </c>
      <c r="C124" s="2" t="s">
        <v>361</v>
      </c>
      <c r="D124" s="1" t="s">
        <v>16</v>
      </c>
      <c r="E124" s="1" t="s">
        <v>59</v>
      </c>
      <c r="F124" s="1" t="s">
        <v>60</v>
      </c>
      <c r="G124" s="1" t="s">
        <v>50</v>
      </c>
      <c r="H124" s="1" t="s">
        <v>45</v>
      </c>
      <c r="I124" s="1" t="s">
        <v>83</v>
      </c>
      <c r="J124" s="1">
        <v>23</v>
      </c>
      <c r="K124" s="15">
        <v>630.61</v>
      </c>
      <c r="L124" s="13">
        <v>0.2</v>
      </c>
      <c r="M124" s="10">
        <v>489.14</v>
      </c>
      <c r="N124" s="12">
        <f>(Table1[[#This Row],[Quantity]]*Table1[[#This Row],[Unit Price]])*(1-Table1[[#This Row],[Discount]])</f>
        <v>11603.224000000002</v>
      </c>
      <c r="O124" s="12">
        <f>(Table1[[#This Row],[Unit Price]]-Table1[[#This Row],[Unit Cost]])*Table1[[#This Row],[Quantity]]</f>
        <v>3253.8100000000004</v>
      </c>
      <c r="P124" s="17" t="str">
        <f t="shared" si="1"/>
        <v>Bulk</v>
      </c>
      <c r="Q124" t="str">
        <f>IF(Table1[[#This Row],[Discount]]&gt;=15%,"HIGH",IF(Table1[[#This Row],[Discount]]&gt;=55,"MEDIUM","NONE"))</f>
        <v>HIGH</v>
      </c>
      <c r="R124">
        <f>Table1[[#This Row],[Ship Date]]-Table1[[#This Row],[Order Date]]</f>
        <v>7</v>
      </c>
    </row>
    <row r="125" spans="1:18" x14ac:dyDescent="0.25">
      <c r="A125" s="3" t="s">
        <v>362</v>
      </c>
      <c r="B125" s="2" t="s">
        <v>259</v>
      </c>
      <c r="C125" s="2" t="s">
        <v>259</v>
      </c>
      <c r="D125" s="1" t="s">
        <v>24</v>
      </c>
      <c r="E125" s="1" t="s">
        <v>112</v>
      </c>
      <c r="F125" s="1" t="s">
        <v>60</v>
      </c>
      <c r="G125" s="1" t="s">
        <v>44</v>
      </c>
      <c r="H125" s="1" t="s">
        <v>33</v>
      </c>
      <c r="I125" s="1" t="s">
        <v>51</v>
      </c>
      <c r="J125" s="1">
        <v>15</v>
      </c>
      <c r="K125" s="15">
        <v>10.89</v>
      </c>
      <c r="L125" s="13">
        <v>0</v>
      </c>
      <c r="M125" s="10">
        <v>6.83</v>
      </c>
      <c r="N125" s="12">
        <f>(Table1[[#This Row],[Quantity]]*Table1[[#This Row],[Unit Price]])*(1-Table1[[#This Row],[Discount]])</f>
        <v>163.35000000000002</v>
      </c>
      <c r="O125" s="12">
        <f>(Table1[[#This Row],[Unit Price]]-Table1[[#This Row],[Unit Cost]])*Table1[[#This Row],[Quantity]]</f>
        <v>60.900000000000006</v>
      </c>
      <c r="P125" s="17" t="str">
        <f t="shared" si="1"/>
        <v>Bulk</v>
      </c>
      <c r="Q125" t="str">
        <f>IF(Table1[[#This Row],[Discount]]&gt;=15%,"HIGH",IF(Table1[[#This Row],[Discount]]&gt;=55,"MEDIUM","NONE"))</f>
        <v>NONE</v>
      </c>
      <c r="R125">
        <f>Table1[[#This Row],[Ship Date]]-Table1[[#This Row],[Order Date]]</f>
        <v>0</v>
      </c>
    </row>
    <row r="126" spans="1:18" x14ac:dyDescent="0.25">
      <c r="A126" s="3" t="s">
        <v>363</v>
      </c>
      <c r="B126" s="2" t="s">
        <v>364</v>
      </c>
      <c r="C126" s="2" t="s">
        <v>189</v>
      </c>
      <c r="D126" s="1" t="s">
        <v>16</v>
      </c>
      <c r="E126" s="1" t="s">
        <v>55</v>
      </c>
      <c r="F126" s="1" t="s">
        <v>18</v>
      </c>
      <c r="G126" s="1" t="s">
        <v>97</v>
      </c>
      <c r="H126" s="1" t="s">
        <v>61</v>
      </c>
      <c r="I126" s="1" t="s">
        <v>62</v>
      </c>
      <c r="J126" s="1">
        <v>7</v>
      </c>
      <c r="K126" s="15">
        <v>74.099999999999994</v>
      </c>
      <c r="L126" s="13">
        <v>0</v>
      </c>
      <c r="M126" s="10">
        <v>56.93</v>
      </c>
      <c r="N126" s="12">
        <f>(Table1[[#This Row],[Quantity]]*Table1[[#This Row],[Unit Price]])*(1-Table1[[#This Row],[Discount]])</f>
        <v>518.69999999999993</v>
      </c>
      <c r="O126" s="12">
        <f>(Table1[[#This Row],[Unit Price]]-Table1[[#This Row],[Unit Cost]])*Table1[[#This Row],[Quantity]]</f>
        <v>120.18999999999997</v>
      </c>
      <c r="P126" s="17" t="str">
        <f t="shared" si="1"/>
        <v>Bulk</v>
      </c>
      <c r="Q126" t="str">
        <f>IF(Table1[[#This Row],[Discount]]&gt;=15%,"HIGH",IF(Table1[[#This Row],[Discount]]&gt;=55,"MEDIUM","NONE"))</f>
        <v>NONE</v>
      </c>
      <c r="R126">
        <f>Table1[[#This Row],[Ship Date]]-Table1[[#This Row],[Order Date]]</f>
        <v>4</v>
      </c>
    </row>
    <row r="127" spans="1:18" x14ac:dyDescent="0.25">
      <c r="A127" s="3" t="s">
        <v>365</v>
      </c>
      <c r="B127" s="2" t="s">
        <v>189</v>
      </c>
      <c r="C127" s="2" t="s">
        <v>366</v>
      </c>
      <c r="D127" s="1" t="s">
        <v>16</v>
      </c>
      <c r="E127" s="1" t="s">
        <v>96</v>
      </c>
      <c r="F127" s="1" t="s">
        <v>38</v>
      </c>
      <c r="G127" s="1" t="s">
        <v>44</v>
      </c>
      <c r="H127" s="1" t="s">
        <v>20</v>
      </c>
      <c r="I127" s="1" t="s">
        <v>151</v>
      </c>
      <c r="J127" s="1">
        <v>25</v>
      </c>
      <c r="K127" s="15">
        <v>234.36</v>
      </c>
      <c r="L127" s="13">
        <v>0.05</v>
      </c>
      <c r="M127" s="10">
        <v>181.94</v>
      </c>
      <c r="N127" s="12">
        <f>(Table1[[#This Row],[Quantity]]*Table1[[#This Row],[Unit Price]])*(1-Table1[[#This Row],[Discount]])</f>
        <v>5566.05</v>
      </c>
      <c r="O127" s="12">
        <f>(Table1[[#This Row],[Unit Price]]-Table1[[#This Row],[Unit Cost]])*Table1[[#This Row],[Quantity]]</f>
        <v>1310.5000000000005</v>
      </c>
      <c r="P127" s="17" t="str">
        <f t="shared" si="1"/>
        <v>Standard</v>
      </c>
      <c r="Q127" t="str">
        <f>IF(Table1[[#This Row],[Discount]]&gt;=15%,"HIGH",IF(Table1[[#This Row],[Discount]]&gt;=55,"MEDIUM","NONE"))</f>
        <v>NONE</v>
      </c>
      <c r="R127">
        <f>Table1[[#This Row],[Ship Date]]-Table1[[#This Row],[Order Date]]</f>
        <v>5</v>
      </c>
    </row>
    <row r="128" spans="1:18" x14ac:dyDescent="0.25">
      <c r="A128" s="3" t="s">
        <v>367</v>
      </c>
      <c r="B128" s="2" t="s">
        <v>234</v>
      </c>
      <c r="C128" s="2" t="s">
        <v>368</v>
      </c>
      <c r="D128" s="1" t="s">
        <v>16</v>
      </c>
      <c r="E128" s="1" t="s">
        <v>91</v>
      </c>
      <c r="F128" s="1" t="s">
        <v>18</v>
      </c>
      <c r="G128" s="1" t="s">
        <v>97</v>
      </c>
      <c r="H128" s="1" t="s">
        <v>45</v>
      </c>
      <c r="I128" s="1" t="s">
        <v>143</v>
      </c>
      <c r="J128" s="1">
        <v>13</v>
      </c>
      <c r="K128" s="15">
        <v>431.49</v>
      </c>
      <c r="L128" s="13">
        <v>0</v>
      </c>
      <c r="M128" s="10">
        <v>278.98</v>
      </c>
      <c r="N128" s="12">
        <f>(Table1[[#This Row],[Quantity]]*Table1[[#This Row],[Unit Price]])*(1-Table1[[#This Row],[Discount]])</f>
        <v>5609.37</v>
      </c>
      <c r="O128" s="12">
        <f>(Table1[[#This Row],[Unit Price]]-Table1[[#This Row],[Unit Cost]])*Table1[[#This Row],[Quantity]]</f>
        <v>1982.6299999999999</v>
      </c>
      <c r="P128" s="17" t="str">
        <f t="shared" si="1"/>
        <v>Bulk</v>
      </c>
      <c r="Q128" t="str">
        <f>IF(Table1[[#This Row],[Discount]]&gt;=15%,"HIGH",IF(Table1[[#This Row],[Discount]]&gt;=55,"MEDIUM","NONE"))</f>
        <v>NONE</v>
      </c>
      <c r="R128">
        <f>Table1[[#This Row],[Ship Date]]-Table1[[#This Row],[Order Date]]</f>
        <v>4</v>
      </c>
    </row>
    <row r="129" spans="1:18" x14ac:dyDescent="0.25">
      <c r="A129" s="3" t="s">
        <v>369</v>
      </c>
      <c r="B129" s="2" t="s">
        <v>370</v>
      </c>
      <c r="C129" s="2" t="s">
        <v>371</v>
      </c>
      <c r="D129" s="1" t="s">
        <v>16</v>
      </c>
      <c r="E129" s="1" t="s">
        <v>117</v>
      </c>
      <c r="F129" s="1" t="s">
        <v>43</v>
      </c>
      <c r="G129" s="1" t="s">
        <v>50</v>
      </c>
      <c r="H129" s="1" t="s">
        <v>20</v>
      </c>
      <c r="I129" s="1" t="s">
        <v>134</v>
      </c>
      <c r="J129" s="1">
        <v>2</v>
      </c>
      <c r="K129" s="15">
        <v>379.91</v>
      </c>
      <c r="L129" s="13">
        <v>0.2</v>
      </c>
      <c r="M129" s="10">
        <v>253.82</v>
      </c>
      <c r="N129" s="12">
        <f>(Table1[[#This Row],[Quantity]]*Table1[[#This Row],[Unit Price]])*(1-Table1[[#This Row],[Discount]])</f>
        <v>607.85600000000011</v>
      </c>
      <c r="O129" s="12">
        <f>(Table1[[#This Row],[Unit Price]]-Table1[[#This Row],[Unit Cost]])*Table1[[#This Row],[Quantity]]</f>
        <v>252.18000000000006</v>
      </c>
      <c r="P129" s="17" t="str">
        <f t="shared" si="1"/>
        <v>Bulk</v>
      </c>
      <c r="Q129" t="str">
        <f>IF(Table1[[#This Row],[Discount]]&gt;=15%,"HIGH",IF(Table1[[#This Row],[Discount]]&gt;=55,"MEDIUM","NONE"))</f>
        <v>HIGH</v>
      </c>
      <c r="R129">
        <f>Table1[[#This Row],[Ship Date]]-Table1[[#This Row],[Order Date]]</f>
        <v>5</v>
      </c>
    </row>
    <row r="130" spans="1:18" x14ac:dyDescent="0.25">
      <c r="A130" s="3" t="s">
        <v>372</v>
      </c>
      <c r="B130" s="2" t="s">
        <v>257</v>
      </c>
      <c r="C130" s="2" t="s">
        <v>373</v>
      </c>
      <c r="D130" s="1" t="s">
        <v>16</v>
      </c>
      <c r="E130" s="1" t="s">
        <v>37</v>
      </c>
      <c r="F130" s="1" t="s">
        <v>43</v>
      </c>
      <c r="G130" s="1" t="s">
        <v>19</v>
      </c>
      <c r="H130" s="1" t="s">
        <v>20</v>
      </c>
      <c r="I130" s="1" t="s">
        <v>21</v>
      </c>
      <c r="J130" s="1">
        <v>18</v>
      </c>
      <c r="K130" s="15">
        <v>1131.26</v>
      </c>
      <c r="L130" s="13">
        <v>0.1</v>
      </c>
      <c r="M130" s="10">
        <v>771.45</v>
      </c>
      <c r="N130" s="12">
        <f>(Table1[[#This Row],[Quantity]]*Table1[[#This Row],[Unit Price]])*(1-Table1[[#This Row],[Discount]])</f>
        <v>18326.412</v>
      </c>
      <c r="O130" s="12">
        <f>(Table1[[#This Row],[Unit Price]]-Table1[[#This Row],[Unit Cost]])*Table1[[#This Row],[Quantity]]</f>
        <v>6476.579999999999</v>
      </c>
      <c r="P130" s="17" t="str">
        <f t="shared" ref="P130:P193" si="2">IF(J129&gt;10,"Bulk","Standard")</f>
        <v>Standard</v>
      </c>
      <c r="Q130" t="str">
        <f>IF(Table1[[#This Row],[Discount]]&gt;=15%,"HIGH",IF(Table1[[#This Row],[Discount]]&gt;=55,"MEDIUM","NONE"))</f>
        <v>NONE</v>
      </c>
      <c r="R130">
        <f>Table1[[#This Row],[Ship Date]]-Table1[[#This Row],[Order Date]]</f>
        <v>4</v>
      </c>
    </row>
    <row r="131" spans="1:18" x14ac:dyDescent="0.25">
      <c r="A131" s="3" t="s">
        <v>374</v>
      </c>
      <c r="B131" s="2" t="s">
        <v>375</v>
      </c>
      <c r="C131" s="2" t="s">
        <v>375</v>
      </c>
      <c r="D131" s="1" t="s">
        <v>24</v>
      </c>
      <c r="E131" s="1" t="s">
        <v>17</v>
      </c>
      <c r="F131" s="1" t="s">
        <v>43</v>
      </c>
      <c r="G131" s="1" t="s">
        <v>97</v>
      </c>
      <c r="H131" s="1" t="s">
        <v>33</v>
      </c>
      <c r="I131" s="1" t="s">
        <v>34</v>
      </c>
      <c r="J131" s="1">
        <v>20</v>
      </c>
      <c r="K131" s="15">
        <v>19.37</v>
      </c>
      <c r="L131" s="13">
        <v>0</v>
      </c>
      <c r="M131" s="10">
        <v>14.71</v>
      </c>
      <c r="N131" s="12">
        <f>(Table1[[#This Row],[Quantity]]*Table1[[#This Row],[Unit Price]])*(1-Table1[[#This Row],[Discount]])</f>
        <v>387.40000000000003</v>
      </c>
      <c r="O131" s="12">
        <f>(Table1[[#This Row],[Unit Price]]-Table1[[#This Row],[Unit Cost]])*Table1[[#This Row],[Quantity]]</f>
        <v>93.2</v>
      </c>
      <c r="P131" s="17" t="str">
        <f t="shared" si="2"/>
        <v>Bulk</v>
      </c>
      <c r="Q131" t="str">
        <f>IF(Table1[[#This Row],[Discount]]&gt;=15%,"HIGH",IF(Table1[[#This Row],[Discount]]&gt;=55,"MEDIUM","NONE"))</f>
        <v>NONE</v>
      </c>
      <c r="R131">
        <f>Table1[[#This Row],[Ship Date]]-Table1[[#This Row],[Order Date]]</f>
        <v>0</v>
      </c>
    </row>
    <row r="132" spans="1:18" x14ac:dyDescent="0.25">
      <c r="A132" s="3" t="s">
        <v>376</v>
      </c>
      <c r="B132" s="2" t="s">
        <v>377</v>
      </c>
      <c r="C132" s="2" t="s">
        <v>377</v>
      </c>
      <c r="D132" s="1" t="s">
        <v>24</v>
      </c>
      <c r="E132" s="1" t="s">
        <v>31</v>
      </c>
      <c r="F132" s="1" t="s">
        <v>18</v>
      </c>
      <c r="G132" s="1" t="s">
        <v>26</v>
      </c>
      <c r="H132" s="1" t="s">
        <v>45</v>
      </c>
      <c r="I132" s="1" t="s">
        <v>68</v>
      </c>
      <c r="J132" s="1">
        <v>12</v>
      </c>
      <c r="K132" s="15">
        <v>238.02</v>
      </c>
      <c r="L132" s="13">
        <v>0.05</v>
      </c>
      <c r="M132" s="10">
        <v>142.06</v>
      </c>
      <c r="N132" s="12">
        <f>(Table1[[#This Row],[Quantity]]*Table1[[#This Row],[Unit Price]])*(1-Table1[[#This Row],[Discount]])</f>
        <v>2713.4279999999999</v>
      </c>
      <c r="O132" s="12">
        <f>(Table1[[#This Row],[Unit Price]]-Table1[[#This Row],[Unit Cost]])*Table1[[#This Row],[Quantity]]</f>
        <v>1151.52</v>
      </c>
      <c r="P132" s="17" t="str">
        <f t="shared" si="2"/>
        <v>Bulk</v>
      </c>
      <c r="Q132" t="str">
        <f>IF(Table1[[#This Row],[Discount]]&gt;=15%,"HIGH",IF(Table1[[#This Row],[Discount]]&gt;=55,"MEDIUM","NONE"))</f>
        <v>NONE</v>
      </c>
      <c r="R132">
        <f>Table1[[#This Row],[Ship Date]]-Table1[[#This Row],[Order Date]]</f>
        <v>0</v>
      </c>
    </row>
    <row r="133" spans="1:18" x14ac:dyDescent="0.25">
      <c r="A133" s="3" t="s">
        <v>378</v>
      </c>
      <c r="B133" s="2" t="s">
        <v>379</v>
      </c>
      <c r="C133" s="2" t="s">
        <v>380</v>
      </c>
      <c r="D133" s="1" t="s">
        <v>30</v>
      </c>
      <c r="E133" s="1" t="s">
        <v>133</v>
      </c>
      <c r="F133" s="1" t="s">
        <v>60</v>
      </c>
      <c r="G133" s="1" t="s">
        <v>97</v>
      </c>
      <c r="H133" s="1" t="s">
        <v>20</v>
      </c>
      <c r="I133" s="1" t="s">
        <v>139</v>
      </c>
      <c r="J133" s="1">
        <v>9</v>
      </c>
      <c r="K133" s="15">
        <v>909.41</v>
      </c>
      <c r="L133" s="13">
        <v>0</v>
      </c>
      <c r="M133" s="10">
        <v>679.45</v>
      </c>
      <c r="N133" s="12">
        <f>(Table1[[#This Row],[Quantity]]*Table1[[#This Row],[Unit Price]])*(1-Table1[[#This Row],[Discount]])</f>
        <v>8184.69</v>
      </c>
      <c r="O133" s="12">
        <f>(Table1[[#This Row],[Unit Price]]-Table1[[#This Row],[Unit Cost]])*Table1[[#This Row],[Quantity]]</f>
        <v>2069.6399999999994</v>
      </c>
      <c r="P133" s="17" t="str">
        <f t="shared" si="2"/>
        <v>Bulk</v>
      </c>
      <c r="Q133" t="str">
        <f>IF(Table1[[#This Row],[Discount]]&gt;=15%,"HIGH",IF(Table1[[#This Row],[Discount]]&gt;=55,"MEDIUM","NONE"))</f>
        <v>NONE</v>
      </c>
      <c r="R133">
        <f>Table1[[#This Row],[Ship Date]]-Table1[[#This Row],[Order Date]]</f>
        <v>2</v>
      </c>
    </row>
    <row r="134" spans="1:18" x14ac:dyDescent="0.25">
      <c r="A134" s="3" t="s">
        <v>381</v>
      </c>
      <c r="B134" s="2" t="s">
        <v>382</v>
      </c>
      <c r="C134" s="2" t="s">
        <v>383</v>
      </c>
      <c r="D134" s="1" t="s">
        <v>30</v>
      </c>
      <c r="E134" s="1" t="s">
        <v>59</v>
      </c>
      <c r="F134" s="1" t="s">
        <v>18</v>
      </c>
      <c r="G134" s="1" t="s">
        <v>26</v>
      </c>
      <c r="H134" s="1" t="s">
        <v>20</v>
      </c>
      <c r="I134" s="1" t="s">
        <v>192</v>
      </c>
      <c r="J134" s="1">
        <v>18</v>
      </c>
      <c r="K134" s="15">
        <v>439.33</v>
      </c>
      <c r="L134" s="13">
        <v>0.15</v>
      </c>
      <c r="M134" s="10">
        <v>260.86</v>
      </c>
      <c r="N134" s="12">
        <f>(Table1[[#This Row],[Quantity]]*Table1[[#This Row],[Unit Price]])*(1-Table1[[#This Row],[Discount]])</f>
        <v>6721.7489999999998</v>
      </c>
      <c r="O134" s="12">
        <f>(Table1[[#This Row],[Unit Price]]-Table1[[#This Row],[Unit Cost]])*Table1[[#This Row],[Quantity]]</f>
        <v>3212.4599999999996</v>
      </c>
      <c r="P134" s="17" t="str">
        <f t="shared" si="2"/>
        <v>Standard</v>
      </c>
      <c r="Q134" t="str">
        <f>IF(Table1[[#This Row],[Discount]]&gt;=15%,"HIGH",IF(Table1[[#This Row],[Discount]]&gt;=55,"MEDIUM","NONE"))</f>
        <v>HIGH</v>
      </c>
      <c r="R134">
        <f>Table1[[#This Row],[Ship Date]]-Table1[[#This Row],[Order Date]]</f>
        <v>3</v>
      </c>
    </row>
    <row r="135" spans="1:18" x14ac:dyDescent="0.25">
      <c r="A135" s="3" t="s">
        <v>384</v>
      </c>
      <c r="B135" s="2" t="s">
        <v>385</v>
      </c>
      <c r="C135" s="2" t="s">
        <v>386</v>
      </c>
      <c r="D135" s="1" t="s">
        <v>30</v>
      </c>
      <c r="E135" s="1" t="s">
        <v>75</v>
      </c>
      <c r="F135" s="1" t="s">
        <v>43</v>
      </c>
      <c r="G135" s="1" t="s">
        <v>26</v>
      </c>
      <c r="H135" s="1" t="s">
        <v>45</v>
      </c>
      <c r="I135" s="1" t="s">
        <v>68</v>
      </c>
      <c r="J135" s="1">
        <v>7</v>
      </c>
      <c r="K135" s="15">
        <v>92.42</v>
      </c>
      <c r="L135" s="13">
        <v>0</v>
      </c>
      <c r="M135" s="10">
        <v>71.3</v>
      </c>
      <c r="N135" s="12">
        <f>(Table1[[#This Row],[Quantity]]*Table1[[#This Row],[Unit Price]])*(1-Table1[[#This Row],[Discount]])</f>
        <v>646.94000000000005</v>
      </c>
      <c r="O135" s="12">
        <f>(Table1[[#This Row],[Unit Price]]-Table1[[#This Row],[Unit Cost]])*Table1[[#This Row],[Quantity]]</f>
        <v>147.84000000000003</v>
      </c>
      <c r="P135" s="17" t="str">
        <f t="shared" si="2"/>
        <v>Bulk</v>
      </c>
      <c r="Q135" t="str">
        <f>IF(Table1[[#This Row],[Discount]]&gt;=15%,"HIGH",IF(Table1[[#This Row],[Discount]]&gt;=55,"MEDIUM","NONE"))</f>
        <v>NONE</v>
      </c>
      <c r="R135">
        <f>Table1[[#This Row],[Ship Date]]-Table1[[#This Row],[Order Date]]</f>
        <v>3</v>
      </c>
    </row>
    <row r="136" spans="1:18" x14ac:dyDescent="0.25">
      <c r="A136" s="3" t="s">
        <v>387</v>
      </c>
      <c r="B136" s="2" t="s">
        <v>388</v>
      </c>
      <c r="C136" s="2" t="s">
        <v>388</v>
      </c>
      <c r="D136" s="1" t="s">
        <v>24</v>
      </c>
      <c r="E136" s="1" t="s">
        <v>37</v>
      </c>
      <c r="F136" s="1" t="s">
        <v>60</v>
      </c>
      <c r="G136" s="1" t="s">
        <v>26</v>
      </c>
      <c r="H136" s="1" t="s">
        <v>61</v>
      </c>
      <c r="I136" s="1" t="s">
        <v>72</v>
      </c>
      <c r="J136" s="1">
        <v>7</v>
      </c>
      <c r="K136" s="15">
        <v>32.89</v>
      </c>
      <c r="L136" s="13">
        <v>0.2</v>
      </c>
      <c r="M136" s="10">
        <v>24.51</v>
      </c>
      <c r="N136" s="12">
        <f>(Table1[[#This Row],[Quantity]]*Table1[[#This Row],[Unit Price]])*(1-Table1[[#This Row],[Discount]])</f>
        <v>184.18400000000003</v>
      </c>
      <c r="O136" s="12">
        <f>(Table1[[#This Row],[Unit Price]]-Table1[[#This Row],[Unit Cost]])*Table1[[#This Row],[Quantity]]</f>
        <v>58.66</v>
      </c>
      <c r="P136" s="17" t="str">
        <f t="shared" si="2"/>
        <v>Standard</v>
      </c>
      <c r="Q136" t="str">
        <f>IF(Table1[[#This Row],[Discount]]&gt;=15%,"HIGH",IF(Table1[[#This Row],[Discount]]&gt;=55,"MEDIUM","NONE"))</f>
        <v>HIGH</v>
      </c>
      <c r="R136">
        <f>Table1[[#This Row],[Ship Date]]-Table1[[#This Row],[Order Date]]</f>
        <v>0</v>
      </c>
    </row>
    <row r="137" spans="1:18" x14ac:dyDescent="0.25">
      <c r="A137" s="3" t="s">
        <v>389</v>
      </c>
      <c r="B137" s="2" t="s">
        <v>231</v>
      </c>
      <c r="C137" s="2" t="s">
        <v>232</v>
      </c>
      <c r="D137" s="1" t="s">
        <v>30</v>
      </c>
      <c r="E137" s="1" t="s">
        <v>75</v>
      </c>
      <c r="F137" s="1" t="s">
        <v>60</v>
      </c>
      <c r="G137" s="1" t="s">
        <v>97</v>
      </c>
      <c r="H137" s="1" t="s">
        <v>33</v>
      </c>
      <c r="I137" s="1" t="s">
        <v>76</v>
      </c>
      <c r="J137" s="1">
        <v>6</v>
      </c>
      <c r="K137" s="15">
        <v>20.86</v>
      </c>
      <c r="L137" s="13">
        <v>0.05</v>
      </c>
      <c r="M137" s="10">
        <v>13.39</v>
      </c>
      <c r="N137" s="12">
        <f>(Table1[[#This Row],[Quantity]]*Table1[[#This Row],[Unit Price]])*(1-Table1[[#This Row],[Discount]])</f>
        <v>118.90199999999999</v>
      </c>
      <c r="O137" s="12">
        <f>(Table1[[#This Row],[Unit Price]]-Table1[[#This Row],[Unit Cost]])*Table1[[#This Row],[Quantity]]</f>
        <v>44.819999999999993</v>
      </c>
      <c r="P137" s="17" t="str">
        <f t="shared" si="2"/>
        <v>Standard</v>
      </c>
      <c r="Q137" t="str">
        <f>IF(Table1[[#This Row],[Discount]]&gt;=15%,"HIGH",IF(Table1[[#This Row],[Discount]]&gt;=55,"MEDIUM","NONE"))</f>
        <v>NONE</v>
      </c>
      <c r="R137">
        <f>Table1[[#This Row],[Ship Date]]-Table1[[#This Row],[Order Date]]</f>
        <v>2</v>
      </c>
    </row>
    <row r="138" spans="1:18" x14ac:dyDescent="0.25">
      <c r="A138" s="3" t="s">
        <v>390</v>
      </c>
      <c r="B138" s="2" t="s">
        <v>391</v>
      </c>
      <c r="C138" s="2" t="s">
        <v>392</v>
      </c>
      <c r="D138" s="1" t="s">
        <v>30</v>
      </c>
      <c r="E138" s="1" t="s">
        <v>78</v>
      </c>
      <c r="F138" s="1" t="s">
        <v>38</v>
      </c>
      <c r="G138" s="1" t="s">
        <v>44</v>
      </c>
      <c r="H138" s="1" t="s">
        <v>20</v>
      </c>
      <c r="I138" s="1" t="s">
        <v>139</v>
      </c>
      <c r="J138" s="1">
        <v>4</v>
      </c>
      <c r="K138" s="15">
        <v>142.08000000000001</v>
      </c>
      <c r="L138" s="13">
        <v>0.15</v>
      </c>
      <c r="M138" s="10">
        <v>88.65</v>
      </c>
      <c r="N138" s="12">
        <f>(Table1[[#This Row],[Quantity]]*Table1[[#This Row],[Unit Price]])*(1-Table1[[#This Row],[Discount]])</f>
        <v>483.072</v>
      </c>
      <c r="O138" s="12">
        <f>(Table1[[#This Row],[Unit Price]]-Table1[[#This Row],[Unit Cost]])*Table1[[#This Row],[Quantity]]</f>
        <v>213.72000000000003</v>
      </c>
      <c r="P138" s="17" t="str">
        <f t="shared" si="2"/>
        <v>Standard</v>
      </c>
      <c r="Q138" t="str">
        <f>IF(Table1[[#This Row],[Discount]]&gt;=15%,"HIGH",IF(Table1[[#This Row],[Discount]]&gt;=55,"MEDIUM","NONE"))</f>
        <v>HIGH</v>
      </c>
      <c r="R138">
        <f>Table1[[#This Row],[Ship Date]]-Table1[[#This Row],[Order Date]]</f>
        <v>3</v>
      </c>
    </row>
    <row r="139" spans="1:18" x14ac:dyDescent="0.25">
      <c r="A139" s="3" t="s">
        <v>393</v>
      </c>
      <c r="B139" s="2" t="s">
        <v>105</v>
      </c>
      <c r="C139" s="2" t="s">
        <v>105</v>
      </c>
      <c r="D139" s="1" t="s">
        <v>24</v>
      </c>
      <c r="E139" s="1" t="s">
        <v>133</v>
      </c>
      <c r="F139" s="1" t="s">
        <v>60</v>
      </c>
      <c r="G139" s="1" t="s">
        <v>32</v>
      </c>
      <c r="H139" s="1" t="s">
        <v>61</v>
      </c>
      <c r="I139" s="1" t="s">
        <v>169</v>
      </c>
      <c r="J139" s="1">
        <v>14</v>
      </c>
      <c r="K139" s="15">
        <v>31.96</v>
      </c>
      <c r="L139" s="13">
        <v>0.2</v>
      </c>
      <c r="M139" s="10">
        <v>25.15</v>
      </c>
      <c r="N139" s="12">
        <f>(Table1[[#This Row],[Quantity]]*Table1[[#This Row],[Unit Price]])*(1-Table1[[#This Row],[Discount]])</f>
        <v>357.952</v>
      </c>
      <c r="O139" s="12">
        <f>(Table1[[#This Row],[Unit Price]]-Table1[[#This Row],[Unit Cost]])*Table1[[#This Row],[Quantity]]</f>
        <v>95.340000000000032</v>
      </c>
      <c r="P139" s="17" t="str">
        <f t="shared" si="2"/>
        <v>Standard</v>
      </c>
      <c r="Q139" t="str">
        <f>IF(Table1[[#This Row],[Discount]]&gt;=15%,"HIGH",IF(Table1[[#This Row],[Discount]]&gt;=55,"MEDIUM","NONE"))</f>
        <v>HIGH</v>
      </c>
      <c r="R139">
        <f>Table1[[#This Row],[Ship Date]]-Table1[[#This Row],[Order Date]]</f>
        <v>0</v>
      </c>
    </row>
    <row r="140" spans="1:18" x14ac:dyDescent="0.25">
      <c r="A140" s="3" t="s">
        <v>394</v>
      </c>
      <c r="B140" s="2" t="s">
        <v>395</v>
      </c>
      <c r="C140" s="2" t="s">
        <v>121</v>
      </c>
      <c r="D140" s="1" t="s">
        <v>16</v>
      </c>
      <c r="E140" s="1" t="s">
        <v>112</v>
      </c>
      <c r="F140" s="1" t="s">
        <v>25</v>
      </c>
      <c r="G140" s="1" t="s">
        <v>82</v>
      </c>
      <c r="H140" s="1" t="s">
        <v>45</v>
      </c>
      <c r="I140" s="1" t="s">
        <v>46</v>
      </c>
      <c r="J140" s="1">
        <v>5</v>
      </c>
      <c r="K140" s="15">
        <v>109.75</v>
      </c>
      <c r="L140" s="13">
        <v>0.2</v>
      </c>
      <c r="M140" s="10">
        <v>78.06</v>
      </c>
      <c r="N140" s="12">
        <f>(Table1[[#This Row],[Quantity]]*Table1[[#This Row],[Unit Price]])*(1-Table1[[#This Row],[Discount]])</f>
        <v>439</v>
      </c>
      <c r="O140" s="12">
        <f>(Table1[[#This Row],[Unit Price]]-Table1[[#This Row],[Unit Cost]])*Table1[[#This Row],[Quantity]]</f>
        <v>158.44999999999999</v>
      </c>
      <c r="P140" s="17" t="str">
        <f t="shared" si="2"/>
        <v>Bulk</v>
      </c>
      <c r="Q140" t="str">
        <f>IF(Table1[[#This Row],[Discount]]&gt;=15%,"HIGH",IF(Table1[[#This Row],[Discount]]&gt;=55,"MEDIUM","NONE"))</f>
        <v>HIGH</v>
      </c>
      <c r="R140">
        <f>Table1[[#This Row],[Ship Date]]-Table1[[#This Row],[Order Date]]</f>
        <v>6</v>
      </c>
    </row>
    <row r="141" spans="1:18" x14ac:dyDescent="0.25">
      <c r="A141" s="3" t="s">
        <v>396</v>
      </c>
      <c r="B141" s="2" t="s">
        <v>397</v>
      </c>
      <c r="C141" s="2" t="s">
        <v>398</v>
      </c>
      <c r="D141" s="1" t="s">
        <v>30</v>
      </c>
      <c r="E141" s="1" t="s">
        <v>75</v>
      </c>
      <c r="F141" s="1" t="s">
        <v>25</v>
      </c>
      <c r="G141" s="1" t="s">
        <v>32</v>
      </c>
      <c r="H141" s="1" t="s">
        <v>20</v>
      </c>
      <c r="I141" s="1" t="s">
        <v>192</v>
      </c>
      <c r="J141" s="1">
        <v>15</v>
      </c>
      <c r="K141" s="15">
        <v>927.55</v>
      </c>
      <c r="L141" s="13">
        <v>0.1</v>
      </c>
      <c r="M141" s="10">
        <v>542.08000000000004</v>
      </c>
      <c r="N141" s="12">
        <f>(Table1[[#This Row],[Quantity]]*Table1[[#This Row],[Unit Price]])*(1-Table1[[#This Row],[Discount]])</f>
        <v>12521.925000000001</v>
      </c>
      <c r="O141" s="12">
        <f>(Table1[[#This Row],[Unit Price]]-Table1[[#This Row],[Unit Cost]])*Table1[[#This Row],[Quantity]]</f>
        <v>5782.0499999999984</v>
      </c>
      <c r="P141" s="17" t="str">
        <f t="shared" si="2"/>
        <v>Standard</v>
      </c>
      <c r="Q141" t="str">
        <f>IF(Table1[[#This Row],[Discount]]&gt;=15%,"HIGH",IF(Table1[[#This Row],[Discount]]&gt;=55,"MEDIUM","NONE"))</f>
        <v>NONE</v>
      </c>
      <c r="R141">
        <f>Table1[[#This Row],[Ship Date]]-Table1[[#This Row],[Order Date]]</f>
        <v>3</v>
      </c>
    </row>
    <row r="142" spans="1:18" x14ac:dyDescent="0.25">
      <c r="A142" s="3" t="s">
        <v>399</v>
      </c>
      <c r="B142" s="2" t="s">
        <v>400</v>
      </c>
      <c r="C142" s="2" t="s">
        <v>401</v>
      </c>
      <c r="D142" s="1" t="s">
        <v>30</v>
      </c>
      <c r="E142" s="1" t="s">
        <v>91</v>
      </c>
      <c r="F142" s="1" t="s">
        <v>43</v>
      </c>
      <c r="G142" s="1" t="s">
        <v>50</v>
      </c>
      <c r="H142" s="1" t="s">
        <v>33</v>
      </c>
      <c r="I142" s="1" t="s">
        <v>51</v>
      </c>
      <c r="J142" s="1">
        <v>17</v>
      </c>
      <c r="K142" s="15">
        <v>16.71</v>
      </c>
      <c r="L142" s="13">
        <v>0.1</v>
      </c>
      <c r="M142" s="10">
        <v>9.68</v>
      </c>
      <c r="N142" s="12">
        <f>(Table1[[#This Row],[Quantity]]*Table1[[#This Row],[Unit Price]])*(1-Table1[[#This Row],[Discount]])</f>
        <v>255.66300000000001</v>
      </c>
      <c r="O142" s="12">
        <f>(Table1[[#This Row],[Unit Price]]-Table1[[#This Row],[Unit Cost]])*Table1[[#This Row],[Quantity]]</f>
        <v>119.51000000000002</v>
      </c>
      <c r="P142" s="17" t="str">
        <f t="shared" si="2"/>
        <v>Bulk</v>
      </c>
      <c r="Q142" t="str">
        <f>IF(Table1[[#This Row],[Discount]]&gt;=15%,"HIGH",IF(Table1[[#This Row],[Discount]]&gt;=55,"MEDIUM","NONE"))</f>
        <v>NONE</v>
      </c>
      <c r="R142">
        <f>Table1[[#This Row],[Ship Date]]-Table1[[#This Row],[Order Date]]</f>
        <v>3</v>
      </c>
    </row>
    <row r="143" spans="1:18" x14ac:dyDescent="0.25">
      <c r="A143" s="3" t="s">
        <v>402</v>
      </c>
      <c r="B143" s="2" t="s">
        <v>403</v>
      </c>
      <c r="C143" s="2" t="s">
        <v>404</v>
      </c>
      <c r="D143" s="1" t="s">
        <v>16</v>
      </c>
      <c r="E143" s="1" t="s">
        <v>96</v>
      </c>
      <c r="F143" s="1" t="s">
        <v>25</v>
      </c>
      <c r="G143" s="1" t="s">
        <v>50</v>
      </c>
      <c r="H143" s="1" t="s">
        <v>33</v>
      </c>
      <c r="I143" s="1" t="s">
        <v>76</v>
      </c>
      <c r="J143" s="1">
        <v>15</v>
      </c>
      <c r="K143" s="15">
        <v>8.56</v>
      </c>
      <c r="L143" s="13">
        <v>0.15</v>
      </c>
      <c r="M143" s="10">
        <v>5.66</v>
      </c>
      <c r="N143" s="12">
        <f>(Table1[[#This Row],[Quantity]]*Table1[[#This Row],[Unit Price]])*(1-Table1[[#This Row],[Discount]])</f>
        <v>109.14</v>
      </c>
      <c r="O143" s="12">
        <f>(Table1[[#This Row],[Unit Price]]-Table1[[#This Row],[Unit Cost]])*Table1[[#This Row],[Quantity]]</f>
        <v>43.500000000000007</v>
      </c>
      <c r="P143" s="17" t="str">
        <f t="shared" si="2"/>
        <v>Bulk</v>
      </c>
      <c r="Q143" t="str">
        <f>IF(Table1[[#This Row],[Discount]]&gt;=15%,"HIGH",IF(Table1[[#This Row],[Discount]]&gt;=55,"MEDIUM","NONE"))</f>
        <v>HIGH</v>
      </c>
      <c r="R143">
        <f>Table1[[#This Row],[Ship Date]]-Table1[[#This Row],[Order Date]]</f>
        <v>4</v>
      </c>
    </row>
    <row r="144" spans="1:18" x14ac:dyDescent="0.25">
      <c r="A144" s="3" t="s">
        <v>405</v>
      </c>
      <c r="B144" s="2" t="s">
        <v>406</v>
      </c>
      <c r="C144" s="2" t="s">
        <v>407</v>
      </c>
      <c r="D144" s="1" t="s">
        <v>30</v>
      </c>
      <c r="E144" s="1" t="s">
        <v>122</v>
      </c>
      <c r="F144" s="1" t="s">
        <v>38</v>
      </c>
      <c r="G144" s="1" t="s">
        <v>44</v>
      </c>
      <c r="H144" s="1" t="s">
        <v>33</v>
      </c>
      <c r="I144" s="1" t="s">
        <v>34</v>
      </c>
      <c r="J144" s="1">
        <v>6</v>
      </c>
      <c r="K144" s="15">
        <v>29.05</v>
      </c>
      <c r="L144" s="13">
        <v>0.15</v>
      </c>
      <c r="M144" s="10">
        <v>20.61</v>
      </c>
      <c r="N144" s="12">
        <f>(Table1[[#This Row],[Quantity]]*Table1[[#This Row],[Unit Price]])*(1-Table1[[#This Row],[Discount]])</f>
        <v>148.155</v>
      </c>
      <c r="O144" s="12">
        <f>(Table1[[#This Row],[Unit Price]]-Table1[[#This Row],[Unit Cost]])*Table1[[#This Row],[Quantity]]</f>
        <v>50.640000000000008</v>
      </c>
      <c r="P144" s="17" t="str">
        <f t="shared" si="2"/>
        <v>Bulk</v>
      </c>
      <c r="Q144" t="str">
        <f>IF(Table1[[#This Row],[Discount]]&gt;=15%,"HIGH",IF(Table1[[#This Row],[Discount]]&gt;=55,"MEDIUM","NONE"))</f>
        <v>HIGH</v>
      </c>
      <c r="R144">
        <f>Table1[[#This Row],[Ship Date]]-Table1[[#This Row],[Order Date]]</f>
        <v>2</v>
      </c>
    </row>
    <row r="145" spans="1:18" x14ac:dyDescent="0.25">
      <c r="A145" s="3" t="s">
        <v>408</v>
      </c>
      <c r="B145" s="2" t="s">
        <v>166</v>
      </c>
      <c r="C145" s="2" t="s">
        <v>167</v>
      </c>
      <c r="D145" s="1" t="s">
        <v>30</v>
      </c>
      <c r="E145" s="1" t="s">
        <v>66</v>
      </c>
      <c r="F145" s="1" t="s">
        <v>25</v>
      </c>
      <c r="G145" s="1" t="s">
        <v>26</v>
      </c>
      <c r="H145" s="1" t="s">
        <v>45</v>
      </c>
      <c r="I145" s="1" t="s">
        <v>68</v>
      </c>
      <c r="J145" s="1">
        <v>18</v>
      </c>
      <c r="K145" s="15">
        <v>483.49</v>
      </c>
      <c r="L145" s="13">
        <v>0.05</v>
      </c>
      <c r="M145" s="10">
        <v>363.06</v>
      </c>
      <c r="N145" s="12">
        <f>(Table1[[#This Row],[Quantity]]*Table1[[#This Row],[Unit Price]])*(1-Table1[[#This Row],[Discount]])</f>
        <v>8267.6790000000001</v>
      </c>
      <c r="O145" s="12">
        <f>(Table1[[#This Row],[Unit Price]]-Table1[[#This Row],[Unit Cost]])*Table1[[#This Row],[Quantity]]</f>
        <v>2167.7400000000002</v>
      </c>
      <c r="P145" s="17" t="str">
        <f t="shared" si="2"/>
        <v>Standard</v>
      </c>
      <c r="Q145" t="str">
        <f>IF(Table1[[#This Row],[Discount]]&gt;=15%,"HIGH",IF(Table1[[#This Row],[Discount]]&gt;=55,"MEDIUM","NONE"))</f>
        <v>NONE</v>
      </c>
      <c r="R145">
        <f>Table1[[#This Row],[Ship Date]]-Table1[[#This Row],[Order Date]]</f>
        <v>2</v>
      </c>
    </row>
    <row r="146" spans="1:18" x14ac:dyDescent="0.25">
      <c r="A146" s="3" t="s">
        <v>409</v>
      </c>
      <c r="B146" s="2" t="s">
        <v>410</v>
      </c>
      <c r="C146" s="2" t="s">
        <v>411</v>
      </c>
      <c r="D146" s="1" t="s">
        <v>30</v>
      </c>
      <c r="E146" s="1" t="s">
        <v>71</v>
      </c>
      <c r="F146" s="1" t="s">
        <v>60</v>
      </c>
      <c r="G146" s="1" t="s">
        <v>97</v>
      </c>
      <c r="H146" s="1" t="s">
        <v>33</v>
      </c>
      <c r="I146" s="1" t="s">
        <v>76</v>
      </c>
      <c r="J146" s="1">
        <v>19</v>
      </c>
      <c r="K146" s="15">
        <v>4.8</v>
      </c>
      <c r="L146" s="13">
        <v>0</v>
      </c>
      <c r="M146" s="10">
        <v>3.41</v>
      </c>
      <c r="N146" s="12">
        <f>(Table1[[#This Row],[Quantity]]*Table1[[#This Row],[Unit Price]])*(1-Table1[[#This Row],[Discount]])</f>
        <v>91.2</v>
      </c>
      <c r="O146" s="12">
        <f>(Table1[[#This Row],[Unit Price]]-Table1[[#This Row],[Unit Cost]])*Table1[[#This Row],[Quantity]]</f>
        <v>26.409999999999993</v>
      </c>
      <c r="P146" s="17" t="str">
        <f t="shared" si="2"/>
        <v>Bulk</v>
      </c>
      <c r="Q146" t="str">
        <f>IF(Table1[[#This Row],[Discount]]&gt;=15%,"HIGH",IF(Table1[[#This Row],[Discount]]&gt;=55,"MEDIUM","NONE"))</f>
        <v>NONE</v>
      </c>
      <c r="R146">
        <f>Table1[[#This Row],[Ship Date]]-Table1[[#This Row],[Order Date]]</f>
        <v>3</v>
      </c>
    </row>
    <row r="147" spans="1:18" x14ac:dyDescent="0.25">
      <c r="A147" s="3" t="s">
        <v>412</v>
      </c>
      <c r="B147" s="2" t="s">
        <v>413</v>
      </c>
      <c r="C147" s="2" t="s">
        <v>344</v>
      </c>
      <c r="D147" s="1" t="s">
        <v>16</v>
      </c>
      <c r="E147" s="1" t="s">
        <v>109</v>
      </c>
      <c r="F147" s="1" t="s">
        <v>38</v>
      </c>
      <c r="G147" s="1" t="s">
        <v>50</v>
      </c>
      <c r="H147" s="1" t="s">
        <v>33</v>
      </c>
      <c r="I147" s="1" t="s">
        <v>51</v>
      </c>
      <c r="J147" s="1">
        <v>14</v>
      </c>
      <c r="K147" s="15">
        <v>21.11</v>
      </c>
      <c r="L147" s="13">
        <v>0.2</v>
      </c>
      <c r="M147" s="10">
        <v>11.9</v>
      </c>
      <c r="N147" s="12">
        <f>(Table1[[#This Row],[Quantity]]*Table1[[#This Row],[Unit Price]])*(1-Table1[[#This Row],[Discount]])</f>
        <v>236.43199999999999</v>
      </c>
      <c r="O147" s="12">
        <f>(Table1[[#This Row],[Unit Price]]-Table1[[#This Row],[Unit Cost]])*Table1[[#This Row],[Quantity]]</f>
        <v>128.94</v>
      </c>
      <c r="P147" s="17" t="str">
        <f t="shared" si="2"/>
        <v>Bulk</v>
      </c>
      <c r="Q147" t="str">
        <f>IF(Table1[[#This Row],[Discount]]&gt;=15%,"HIGH",IF(Table1[[#This Row],[Discount]]&gt;=55,"MEDIUM","NONE"))</f>
        <v>HIGH</v>
      </c>
      <c r="R147">
        <f>Table1[[#This Row],[Ship Date]]-Table1[[#This Row],[Order Date]]</f>
        <v>4</v>
      </c>
    </row>
    <row r="148" spans="1:18" x14ac:dyDescent="0.25">
      <c r="A148" s="3" t="s">
        <v>414</v>
      </c>
      <c r="B148" s="2" t="s">
        <v>415</v>
      </c>
      <c r="C148" s="2" t="s">
        <v>415</v>
      </c>
      <c r="D148" s="1" t="s">
        <v>24</v>
      </c>
      <c r="E148" s="1" t="s">
        <v>17</v>
      </c>
      <c r="F148" s="1" t="s">
        <v>18</v>
      </c>
      <c r="G148" s="1" t="s">
        <v>32</v>
      </c>
      <c r="H148" s="1" t="s">
        <v>45</v>
      </c>
      <c r="I148" s="1" t="s">
        <v>68</v>
      </c>
      <c r="J148" s="1">
        <v>10</v>
      </c>
      <c r="K148" s="15">
        <v>685.99</v>
      </c>
      <c r="L148" s="13">
        <v>0</v>
      </c>
      <c r="M148" s="10">
        <v>410.96</v>
      </c>
      <c r="N148" s="12">
        <f>(Table1[[#This Row],[Quantity]]*Table1[[#This Row],[Unit Price]])*(1-Table1[[#This Row],[Discount]])</f>
        <v>6859.9</v>
      </c>
      <c r="O148" s="12">
        <f>(Table1[[#This Row],[Unit Price]]-Table1[[#This Row],[Unit Cost]])*Table1[[#This Row],[Quantity]]</f>
        <v>2750.3</v>
      </c>
      <c r="P148" s="17" t="str">
        <f t="shared" si="2"/>
        <v>Bulk</v>
      </c>
      <c r="Q148" t="str">
        <f>IF(Table1[[#This Row],[Discount]]&gt;=15%,"HIGH",IF(Table1[[#This Row],[Discount]]&gt;=55,"MEDIUM","NONE"))</f>
        <v>NONE</v>
      </c>
      <c r="R148">
        <f>Table1[[#This Row],[Ship Date]]-Table1[[#This Row],[Order Date]]</f>
        <v>0</v>
      </c>
    </row>
    <row r="149" spans="1:18" x14ac:dyDescent="0.25">
      <c r="A149" s="3" t="s">
        <v>416</v>
      </c>
      <c r="B149" s="2" t="s">
        <v>417</v>
      </c>
      <c r="C149" s="2" t="s">
        <v>417</v>
      </c>
      <c r="D149" s="1" t="s">
        <v>24</v>
      </c>
      <c r="E149" s="1" t="s">
        <v>49</v>
      </c>
      <c r="F149" s="1" t="s">
        <v>38</v>
      </c>
      <c r="G149" s="1" t="s">
        <v>50</v>
      </c>
      <c r="H149" s="1" t="s">
        <v>33</v>
      </c>
      <c r="I149" s="1" t="s">
        <v>153</v>
      </c>
      <c r="J149" s="1">
        <v>19</v>
      </c>
      <c r="K149" s="15">
        <v>7.86</v>
      </c>
      <c r="L149" s="13">
        <v>0.15</v>
      </c>
      <c r="M149" s="10">
        <v>5.55</v>
      </c>
      <c r="N149" s="12">
        <f>(Table1[[#This Row],[Quantity]]*Table1[[#This Row],[Unit Price]])*(1-Table1[[#This Row],[Discount]])</f>
        <v>126.93899999999999</v>
      </c>
      <c r="O149" s="12">
        <f>(Table1[[#This Row],[Unit Price]]-Table1[[#This Row],[Unit Cost]])*Table1[[#This Row],[Quantity]]</f>
        <v>43.890000000000008</v>
      </c>
      <c r="P149" s="17" t="str">
        <f t="shared" si="2"/>
        <v>Standard</v>
      </c>
      <c r="Q149" t="str">
        <f>IF(Table1[[#This Row],[Discount]]&gt;=15%,"HIGH",IF(Table1[[#This Row],[Discount]]&gt;=55,"MEDIUM","NONE"))</f>
        <v>HIGH</v>
      </c>
      <c r="R149">
        <f>Table1[[#This Row],[Ship Date]]-Table1[[#This Row],[Order Date]]</f>
        <v>0</v>
      </c>
    </row>
    <row r="150" spans="1:18" x14ac:dyDescent="0.25">
      <c r="A150" s="3" t="s">
        <v>418</v>
      </c>
      <c r="B150" s="2" t="s">
        <v>419</v>
      </c>
      <c r="C150" s="2" t="s">
        <v>419</v>
      </c>
      <c r="D150" s="1" t="s">
        <v>24</v>
      </c>
      <c r="E150" s="1" t="s">
        <v>37</v>
      </c>
      <c r="F150" s="1" t="s">
        <v>38</v>
      </c>
      <c r="G150" s="1" t="s">
        <v>19</v>
      </c>
      <c r="H150" s="1" t="s">
        <v>20</v>
      </c>
      <c r="I150" s="1" t="s">
        <v>21</v>
      </c>
      <c r="J150" s="1">
        <v>14</v>
      </c>
      <c r="K150" s="15">
        <v>760.82</v>
      </c>
      <c r="L150" s="13">
        <v>0</v>
      </c>
      <c r="M150" s="10">
        <v>513.17999999999995</v>
      </c>
      <c r="N150" s="12">
        <f>(Table1[[#This Row],[Quantity]]*Table1[[#This Row],[Unit Price]])*(1-Table1[[#This Row],[Discount]])</f>
        <v>10651.480000000001</v>
      </c>
      <c r="O150" s="12">
        <f>(Table1[[#This Row],[Unit Price]]-Table1[[#This Row],[Unit Cost]])*Table1[[#This Row],[Quantity]]</f>
        <v>3466.9600000000014</v>
      </c>
      <c r="P150" s="17" t="str">
        <f t="shared" si="2"/>
        <v>Bulk</v>
      </c>
      <c r="Q150" t="str">
        <f>IF(Table1[[#This Row],[Discount]]&gt;=15%,"HIGH",IF(Table1[[#This Row],[Discount]]&gt;=55,"MEDIUM","NONE"))</f>
        <v>NONE</v>
      </c>
      <c r="R150">
        <f>Table1[[#This Row],[Ship Date]]-Table1[[#This Row],[Order Date]]</f>
        <v>0</v>
      </c>
    </row>
    <row r="151" spans="1:18" x14ac:dyDescent="0.25">
      <c r="A151" s="3" t="s">
        <v>420</v>
      </c>
      <c r="B151" s="2" t="s">
        <v>421</v>
      </c>
      <c r="C151" s="2" t="s">
        <v>421</v>
      </c>
      <c r="D151" s="1" t="s">
        <v>24</v>
      </c>
      <c r="E151" s="1" t="s">
        <v>75</v>
      </c>
      <c r="F151" s="1" t="s">
        <v>18</v>
      </c>
      <c r="G151" s="1" t="s">
        <v>67</v>
      </c>
      <c r="H151" s="1" t="s">
        <v>45</v>
      </c>
      <c r="I151" s="1" t="s">
        <v>143</v>
      </c>
      <c r="J151" s="1">
        <v>2</v>
      </c>
      <c r="K151" s="15">
        <v>176.98</v>
      </c>
      <c r="L151" s="13">
        <v>0.05</v>
      </c>
      <c r="M151" s="10">
        <v>118.76</v>
      </c>
      <c r="N151" s="12">
        <f>(Table1[[#This Row],[Quantity]]*Table1[[#This Row],[Unit Price]])*(1-Table1[[#This Row],[Discount]])</f>
        <v>336.26199999999994</v>
      </c>
      <c r="O151" s="12">
        <f>(Table1[[#This Row],[Unit Price]]-Table1[[#This Row],[Unit Cost]])*Table1[[#This Row],[Quantity]]</f>
        <v>116.43999999999997</v>
      </c>
      <c r="P151" s="17" t="str">
        <f t="shared" si="2"/>
        <v>Bulk</v>
      </c>
      <c r="Q151" t="str">
        <f>IF(Table1[[#This Row],[Discount]]&gt;=15%,"HIGH",IF(Table1[[#This Row],[Discount]]&gt;=55,"MEDIUM","NONE"))</f>
        <v>NONE</v>
      </c>
      <c r="R151">
        <f>Table1[[#This Row],[Ship Date]]-Table1[[#This Row],[Order Date]]</f>
        <v>0</v>
      </c>
    </row>
    <row r="152" spans="1:18" x14ac:dyDescent="0.25">
      <c r="A152" s="3" t="s">
        <v>422</v>
      </c>
      <c r="B152" s="2" t="s">
        <v>423</v>
      </c>
      <c r="C152" s="2" t="s">
        <v>424</v>
      </c>
      <c r="D152" s="1" t="s">
        <v>16</v>
      </c>
      <c r="E152" s="1" t="s">
        <v>206</v>
      </c>
      <c r="F152" s="1" t="s">
        <v>18</v>
      </c>
      <c r="G152" s="1" t="s">
        <v>97</v>
      </c>
      <c r="H152" s="1" t="s">
        <v>45</v>
      </c>
      <c r="I152" s="1" t="s">
        <v>148</v>
      </c>
      <c r="J152" s="1">
        <v>25</v>
      </c>
      <c r="K152" s="15">
        <v>334.2</v>
      </c>
      <c r="L152" s="13">
        <v>0.1</v>
      </c>
      <c r="M152" s="10">
        <v>192.68</v>
      </c>
      <c r="N152" s="12">
        <f>(Table1[[#This Row],[Quantity]]*Table1[[#This Row],[Unit Price]])*(1-Table1[[#This Row],[Discount]])</f>
        <v>7519.5</v>
      </c>
      <c r="O152" s="12">
        <f>(Table1[[#This Row],[Unit Price]]-Table1[[#This Row],[Unit Cost]])*Table1[[#This Row],[Quantity]]</f>
        <v>3537.9999999999995</v>
      </c>
      <c r="P152" s="17" t="str">
        <f t="shared" si="2"/>
        <v>Standard</v>
      </c>
      <c r="Q152" t="str">
        <f>IF(Table1[[#This Row],[Discount]]&gt;=15%,"HIGH",IF(Table1[[#This Row],[Discount]]&gt;=55,"MEDIUM","NONE"))</f>
        <v>NONE</v>
      </c>
      <c r="R152">
        <f>Table1[[#This Row],[Ship Date]]-Table1[[#This Row],[Order Date]]</f>
        <v>5</v>
      </c>
    </row>
    <row r="153" spans="1:18" x14ac:dyDescent="0.25">
      <c r="A153" s="3" t="s">
        <v>425</v>
      </c>
      <c r="B153" s="2" t="s">
        <v>146</v>
      </c>
      <c r="C153" s="2" t="s">
        <v>132</v>
      </c>
      <c r="D153" s="1" t="s">
        <v>16</v>
      </c>
      <c r="E153" s="1" t="s">
        <v>59</v>
      </c>
      <c r="F153" s="1" t="s">
        <v>25</v>
      </c>
      <c r="G153" s="1" t="s">
        <v>67</v>
      </c>
      <c r="H153" s="1" t="s">
        <v>33</v>
      </c>
      <c r="I153" s="1" t="s">
        <v>76</v>
      </c>
      <c r="J153" s="1">
        <v>10</v>
      </c>
      <c r="K153" s="15">
        <v>37.92</v>
      </c>
      <c r="L153" s="13">
        <v>0.2</v>
      </c>
      <c r="M153" s="10">
        <v>26.69</v>
      </c>
      <c r="N153" s="12">
        <f>(Table1[[#This Row],[Quantity]]*Table1[[#This Row],[Unit Price]])*(1-Table1[[#This Row],[Discount]])</f>
        <v>303.36000000000007</v>
      </c>
      <c r="O153" s="12">
        <f>(Table1[[#This Row],[Unit Price]]-Table1[[#This Row],[Unit Cost]])*Table1[[#This Row],[Quantity]]</f>
        <v>112.30000000000001</v>
      </c>
      <c r="P153" s="17" t="str">
        <f t="shared" si="2"/>
        <v>Bulk</v>
      </c>
      <c r="Q153" t="str">
        <f>IF(Table1[[#This Row],[Discount]]&gt;=15%,"HIGH",IF(Table1[[#This Row],[Discount]]&gt;=55,"MEDIUM","NONE"))</f>
        <v>HIGH</v>
      </c>
      <c r="R153">
        <f>Table1[[#This Row],[Ship Date]]-Table1[[#This Row],[Order Date]]</f>
        <v>5</v>
      </c>
    </row>
    <row r="154" spans="1:18" x14ac:dyDescent="0.25">
      <c r="A154" s="3" t="s">
        <v>426</v>
      </c>
      <c r="B154" s="2" t="s">
        <v>427</v>
      </c>
      <c r="C154" s="2" t="s">
        <v>428</v>
      </c>
      <c r="D154" s="1" t="s">
        <v>30</v>
      </c>
      <c r="E154" s="1" t="s">
        <v>66</v>
      </c>
      <c r="F154" s="1" t="s">
        <v>25</v>
      </c>
      <c r="G154" s="1" t="s">
        <v>82</v>
      </c>
      <c r="H154" s="1" t="s">
        <v>33</v>
      </c>
      <c r="I154" s="1" t="s">
        <v>51</v>
      </c>
      <c r="J154" s="1">
        <v>10</v>
      </c>
      <c r="K154" s="15">
        <v>20.9</v>
      </c>
      <c r="L154" s="13">
        <v>0</v>
      </c>
      <c r="M154" s="10">
        <v>16.43</v>
      </c>
      <c r="N154" s="12">
        <f>(Table1[[#This Row],[Quantity]]*Table1[[#This Row],[Unit Price]])*(1-Table1[[#This Row],[Discount]])</f>
        <v>209</v>
      </c>
      <c r="O154" s="12">
        <f>(Table1[[#This Row],[Unit Price]]-Table1[[#This Row],[Unit Cost]])*Table1[[#This Row],[Quantity]]</f>
        <v>44.699999999999989</v>
      </c>
      <c r="P154" s="17" t="str">
        <f t="shared" si="2"/>
        <v>Standard</v>
      </c>
      <c r="Q154" t="str">
        <f>IF(Table1[[#This Row],[Discount]]&gt;=15%,"HIGH",IF(Table1[[#This Row],[Discount]]&gt;=55,"MEDIUM","NONE"))</f>
        <v>NONE</v>
      </c>
      <c r="R154">
        <f>Table1[[#This Row],[Ship Date]]-Table1[[#This Row],[Order Date]]</f>
        <v>2</v>
      </c>
    </row>
    <row r="155" spans="1:18" x14ac:dyDescent="0.25">
      <c r="A155" s="3" t="s">
        <v>429</v>
      </c>
      <c r="B155" s="2" t="s">
        <v>430</v>
      </c>
      <c r="C155" s="2" t="s">
        <v>430</v>
      </c>
      <c r="D155" s="1" t="s">
        <v>24</v>
      </c>
      <c r="E155" s="1" t="s">
        <v>214</v>
      </c>
      <c r="F155" s="1" t="s">
        <v>43</v>
      </c>
      <c r="G155" s="1" t="s">
        <v>82</v>
      </c>
      <c r="H155" s="1" t="s">
        <v>33</v>
      </c>
      <c r="I155" s="1" t="s">
        <v>34</v>
      </c>
      <c r="J155" s="1">
        <v>21</v>
      </c>
      <c r="K155" s="15">
        <v>27.56</v>
      </c>
      <c r="L155" s="13">
        <v>0</v>
      </c>
      <c r="M155" s="10">
        <v>18.86</v>
      </c>
      <c r="N155" s="12">
        <f>(Table1[[#This Row],[Quantity]]*Table1[[#This Row],[Unit Price]])*(1-Table1[[#This Row],[Discount]])</f>
        <v>578.76</v>
      </c>
      <c r="O155" s="12">
        <f>(Table1[[#This Row],[Unit Price]]-Table1[[#This Row],[Unit Cost]])*Table1[[#This Row],[Quantity]]</f>
        <v>182.7</v>
      </c>
      <c r="P155" s="17" t="str">
        <f t="shared" si="2"/>
        <v>Standard</v>
      </c>
      <c r="Q155" t="str">
        <f>IF(Table1[[#This Row],[Discount]]&gt;=15%,"HIGH",IF(Table1[[#This Row],[Discount]]&gt;=55,"MEDIUM","NONE"))</f>
        <v>NONE</v>
      </c>
      <c r="R155">
        <f>Table1[[#This Row],[Ship Date]]-Table1[[#This Row],[Order Date]]</f>
        <v>0</v>
      </c>
    </row>
    <row r="156" spans="1:18" x14ac:dyDescent="0.25">
      <c r="A156" s="3" t="s">
        <v>431</v>
      </c>
      <c r="B156" s="2" t="s">
        <v>124</v>
      </c>
      <c r="C156" s="2" t="s">
        <v>432</v>
      </c>
      <c r="D156" s="1" t="s">
        <v>30</v>
      </c>
      <c r="E156" s="1" t="s">
        <v>206</v>
      </c>
      <c r="F156" s="1" t="s">
        <v>60</v>
      </c>
      <c r="G156" s="1" t="s">
        <v>26</v>
      </c>
      <c r="H156" s="1" t="s">
        <v>33</v>
      </c>
      <c r="I156" s="1" t="s">
        <v>39</v>
      </c>
      <c r="J156" s="1">
        <v>2</v>
      </c>
      <c r="K156" s="15">
        <v>23.67</v>
      </c>
      <c r="L156" s="13">
        <v>0</v>
      </c>
      <c r="M156" s="10">
        <v>15.16</v>
      </c>
      <c r="N156" s="12">
        <f>(Table1[[#This Row],[Quantity]]*Table1[[#This Row],[Unit Price]])*(1-Table1[[#This Row],[Discount]])</f>
        <v>47.34</v>
      </c>
      <c r="O156" s="12">
        <f>(Table1[[#This Row],[Unit Price]]-Table1[[#This Row],[Unit Cost]])*Table1[[#This Row],[Quantity]]</f>
        <v>17.020000000000003</v>
      </c>
      <c r="P156" s="17" t="str">
        <f t="shared" si="2"/>
        <v>Bulk</v>
      </c>
      <c r="Q156" t="str">
        <f>IF(Table1[[#This Row],[Discount]]&gt;=15%,"HIGH",IF(Table1[[#This Row],[Discount]]&gt;=55,"MEDIUM","NONE"))</f>
        <v>NONE</v>
      </c>
      <c r="R156">
        <f>Table1[[#This Row],[Ship Date]]-Table1[[#This Row],[Order Date]]</f>
        <v>2</v>
      </c>
    </row>
    <row r="157" spans="1:18" x14ac:dyDescent="0.25">
      <c r="A157" s="3" t="s">
        <v>433</v>
      </c>
      <c r="B157" s="2" t="s">
        <v>434</v>
      </c>
      <c r="C157" s="2" t="s">
        <v>435</v>
      </c>
      <c r="D157" s="1" t="s">
        <v>16</v>
      </c>
      <c r="E157" s="1" t="s">
        <v>112</v>
      </c>
      <c r="F157" s="1" t="s">
        <v>18</v>
      </c>
      <c r="G157" s="1" t="s">
        <v>67</v>
      </c>
      <c r="H157" s="1" t="s">
        <v>61</v>
      </c>
      <c r="I157" s="1" t="s">
        <v>72</v>
      </c>
      <c r="J157" s="1">
        <v>4</v>
      </c>
      <c r="K157" s="15">
        <v>41.51</v>
      </c>
      <c r="L157" s="13">
        <v>0.2</v>
      </c>
      <c r="M157" s="10">
        <v>33.07</v>
      </c>
      <c r="N157" s="12">
        <f>(Table1[[#This Row],[Quantity]]*Table1[[#This Row],[Unit Price]])*(1-Table1[[#This Row],[Discount]])</f>
        <v>132.83199999999999</v>
      </c>
      <c r="O157" s="12">
        <f>(Table1[[#This Row],[Unit Price]]-Table1[[#This Row],[Unit Cost]])*Table1[[#This Row],[Quantity]]</f>
        <v>33.759999999999991</v>
      </c>
      <c r="P157" s="17" t="str">
        <f t="shared" si="2"/>
        <v>Standard</v>
      </c>
      <c r="Q157" t="str">
        <f>IF(Table1[[#This Row],[Discount]]&gt;=15%,"HIGH",IF(Table1[[#This Row],[Discount]]&gt;=55,"MEDIUM","NONE"))</f>
        <v>HIGH</v>
      </c>
      <c r="R157">
        <f>Table1[[#This Row],[Ship Date]]-Table1[[#This Row],[Order Date]]</f>
        <v>6</v>
      </c>
    </row>
    <row r="158" spans="1:18" x14ac:dyDescent="0.25">
      <c r="A158" s="3" t="s">
        <v>436</v>
      </c>
      <c r="B158" s="2" t="s">
        <v>191</v>
      </c>
      <c r="C158" s="2" t="s">
        <v>437</v>
      </c>
      <c r="D158" s="1" t="s">
        <v>16</v>
      </c>
      <c r="E158" s="1" t="s">
        <v>133</v>
      </c>
      <c r="F158" s="1" t="s">
        <v>43</v>
      </c>
      <c r="G158" s="1" t="s">
        <v>26</v>
      </c>
      <c r="H158" s="1" t="s">
        <v>61</v>
      </c>
      <c r="I158" s="1" t="s">
        <v>72</v>
      </c>
      <c r="J158" s="1">
        <v>23</v>
      </c>
      <c r="K158" s="15">
        <v>36.64</v>
      </c>
      <c r="L158" s="13">
        <v>0.05</v>
      </c>
      <c r="M158" s="10">
        <v>24.91</v>
      </c>
      <c r="N158" s="12">
        <f>(Table1[[#This Row],[Quantity]]*Table1[[#This Row],[Unit Price]])*(1-Table1[[#This Row],[Discount]])</f>
        <v>800.58399999999995</v>
      </c>
      <c r="O158" s="12">
        <f>(Table1[[#This Row],[Unit Price]]-Table1[[#This Row],[Unit Cost]])*Table1[[#This Row],[Quantity]]</f>
        <v>269.79000000000002</v>
      </c>
      <c r="P158" s="17" t="str">
        <f t="shared" si="2"/>
        <v>Standard</v>
      </c>
      <c r="Q158" t="str">
        <f>IF(Table1[[#This Row],[Discount]]&gt;=15%,"HIGH",IF(Table1[[#This Row],[Discount]]&gt;=55,"MEDIUM","NONE"))</f>
        <v>NONE</v>
      </c>
      <c r="R158">
        <f>Table1[[#This Row],[Ship Date]]-Table1[[#This Row],[Order Date]]</f>
        <v>5</v>
      </c>
    </row>
    <row r="159" spans="1:18" x14ac:dyDescent="0.25">
      <c r="A159" s="3" t="s">
        <v>438</v>
      </c>
      <c r="B159" s="2" t="s">
        <v>427</v>
      </c>
      <c r="C159" s="2" t="s">
        <v>427</v>
      </c>
      <c r="D159" s="1" t="s">
        <v>24</v>
      </c>
      <c r="E159" s="1" t="s">
        <v>112</v>
      </c>
      <c r="F159" s="1" t="s">
        <v>60</v>
      </c>
      <c r="G159" s="1" t="s">
        <v>44</v>
      </c>
      <c r="H159" s="1" t="s">
        <v>33</v>
      </c>
      <c r="I159" s="1" t="s">
        <v>51</v>
      </c>
      <c r="J159" s="1">
        <v>11</v>
      </c>
      <c r="K159" s="15">
        <v>21.28</v>
      </c>
      <c r="L159" s="13">
        <v>0.1</v>
      </c>
      <c r="M159" s="10">
        <v>14.54</v>
      </c>
      <c r="N159" s="12">
        <f>(Table1[[#This Row],[Quantity]]*Table1[[#This Row],[Unit Price]])*(1-Table1[[#This Row],[Discount]])</f>
        <v>210.67200000000003</v>
      </c>
      <c r="O159" s="12">
        <f>(Table1[[#This Row],[Unit Price]]-Table1[[#This Row],[Unit Cost]])*Table1[[#This Row],[Quantity]]</f>
        <v>74.140000000000015</v>
      </c>
      <c r="P159" s="17" t="str">
        <f t="shared" si="2"/>
        <v>Bulk</v>
      </c>
      <c r="Q159" t="str">
        <f>IF(Table1[[#This Row],[Discount]]&gt;=15%,"HIGH",IF(Table1[[#This Row],[Discount]]&gt;=55,"MEDIUM","NONE"))</f>
        <v>NONE</v>
      </c>
      <c r="R159">
        <f>Table1[[#This Row],[Ship Date]]-Table1[[#This Row],[Order Date]]</f>
        <v>0</v>
      </c>
    </row>
    <row r="160" spans="1:18" x14ac:dyDescent="0.25">
      <c r="A160" s="3" t="s">
        <v>439</v>
      </c>
      <c r="B160" s="2" t="s">
        <v>440</v>
      </c>
      <c r="C160" s="2" t="s">
        <v>440</v>
      </c>
      <c r="D160" s="1" t="s">
        <v>24</v>
      </c>
      <c r="E160" s="1" t="s">
        <v>31</v>
      </c>
      <c r="F160" s="1" t="s">
        <v>43</v>
      </c>
      <c r="G160" s="1" t="s">
        <v>44</v>
      </c>
      <c r="H160" s="1" t="s">
        <v>33</v>
      </c>
      <c r="I160" s="1" t="s">
        <v>39</v>
      </c>
      <c r="J160" s="1">
        <v>23</v>
      </c>
      <c r="K160" s="15">
        <v>25.91</v>
      </c>
      <c r="L160" s="13">
        <v>0.1</v>
      </c>
      <c r="M160" s="10">
        <v>17.32</v>
      </c>
      <c r="N160" s="12">
        <f>(Table1[[#This Row],[Quantity]]*Table1[[#This Row],[Unit Price]])*(1-Table1[[#This Row],[Discount]])</f>
        <v>536.33699999999999</v>
      </c>
      <c r="O160" s="12">
        <f>(Table1[[#This Row],[Unit Price]]-Table1[[#This Row],[Unit Cost]])*Table1[[#This Row],[Quantity]]</f>
        <v>197.57</v>
      </c>
      <c r="P160" s="17" t="str">
        <f t="shared" si="2"/>
        <v>Bulk</v>
      </c>
      <c r="Q160" t="str">
        <f>IF(Table1[[#This Row],[Discount]]&gt;=15%,"HIGH",IF(Table1[[#This Row],[Discount]]&gt;=55,"MEDIUM","NONE"))</f>
        <v>NONE</v>
      </c>
      <c r="R160">
        <f>Table1[[#This Row],[Ship Date]]-Table1[[#This Row],[Order Date]]</f>
        <v>0</v>
      </c>
    </row>
    <row r="161" spans="1:18" x14ac:dyDescent="0.25">
      <c r="A161" s="3" t="s">
        <v>441</v>
      </c>
      <c r="B161" s="2" t="s">
        <v>42</v>
      </c>
      <c r="C161" s="2" t="s">
        <v>442</v>
      </c>
      <c r="D161" s="1" t="s">
        <v>16</v>
      </c>
      <c r="E161" s="1" t="s">
        <v>112</v>
      </c>
      <c r="F161" s="1" t="s">
        <v>38</v>
      </c>
      <c r="G161" s="1" t="s">
        <v>97</v>
      </c>
      <c r="H161" s="1" t="s">
        <v>61</v>
      </c>
      <c r="I161" s="1" t="s">
        <v>88</v>
      </c>
      <c r="J161" s="1">
        <v>22</v>
      </c>
      <c r="K161" s="15">
        <v>29.38</v>
      </c>
      <c r="L161" s="13">
        <v>0.1</v>
      </c>
      <c r="M161" s="10">
        <v>23.12</v>
      </c>
      <c r="N161" s="12">
        <f>(Table1[[#This Row],[Quantity]]*Table1[[#This Row],[Unit Price]])*(1-Table1[[#This Row],[Discount]])</f>
        <v>581.72400000000005</v>
      </c>
      <c r="O161" s="12">
        <f>(Table1[[#This Row],[Unit Price]]-Table1[[#This Row],[Unit Cost]])*Table1[[#This Row],[Quantity]]</f>
        <v>137.71999999999997</v>
      </c>
      <c r="P161" s="17" t="str">
        <f t="shared" si="2"/>
        <v>Bulk</v>
      </c>
      <c r="Q161" t="str">
        <f>IF(Table1[[#This Row],[Discount]]&gt;=15%,"HIGH",IF(Table1[[#This Row],[Discount]]&gt;=55,"MEDIUM","NONE"))</f>
        <v>NONE</v>
      </c>
      <c r="R161">
        <f>Table1[[#This Row],[Ship Date]]-Table1[[#This Row],[Order Date]]</f>
        <v>4</v>
      </c>
    </row>
    <row r="162" spans="1:18" x14ac:dyDescent="0.25">
      <c r="A162" s="3" t="s">
        <v>443</v>
      </c>
      <c r="B162" s="2" t="s">
        <v>301</v>
      </c>
      <c r="C162" s="2" t="s">
        <v>301</v>
      </c>
      <c r="D162" s="1" t="s">
        <v>24</v>
      </c>
      <c r="E162" s="1" t="s">
        <v>59</v>
      </c>
      <c r="F162" s="1" t="s">
        <v>60</v>
      </c>
      <c r="G162" s="1" t="s">
        <v>97</v>
      </c>
      <c r="H162" s="1" t="s">
        <v>61</v>
      </c>
      <c r="I162" s="1" t="s">
        <v>169</v>
      </c>
      <c r="J162" s="1">
        <v>7</v>
      </c>
      <c r="K162" s="15">
        <v>42.83</v>
      </c>
      <c r="L162" s="13">
        <v>0.2</v>
      </c>
      <c r="M162" s="10">
        <v>30.1</v>
      </c>
      <c r="N162" s="12">
        <f>(Table1[[#This Row],[Quantity]]*Table1[[#This Row],[Unit Price]])*(1-Table1[[#This Row],[Discount]])</f>
        <v>239.84800000000001</v>
      </c>
      <c r="O162" s="12">
        <f>(Table1[[#This Row],[Unit Price]]-Table1[[#This Row],[Unit Cost]])*Table1[[#This Row],[Quantity]]</f>
        <v>89.109999999999985</v>
      </c>
      <c r="P162" s="17" t="str">
        <f t="shared" si="2"/>
        <v>Bulk</v>
      </c>
      <c r="Q162" t="str">
        <f>IF(Table1[[#This Row],[Discount]]&gt;=15%,"HIGH",IF(Table1[[#This Row],[Discount]]&gt;=55,"MEDIUM","NONE"))</f>
        <v>HIGH</v>
      </c>
      <c r="R162">
        <f>Table1[[#This Row],[Ship Date]]-Table1[[#This Row],[Order Date]]</f>
        <v>0</v>
      </c>
    </row>
    <row r="163" spans="1:18" x14ac:dyDescent="0.25">
      <c r="A163" s="3" t="s">
        <v>444</v>
      </c>
      <c r="B163" s="2" t="s">
        <v>445</v>
      </c>
      <c r="C163" s="2" t="s">
        <v>445</v>
      </c>
      <c r="D163" s="1" t="s">
        <v>24</v>
      </c>
      <c r="E163" s="1" t="s">
        <v>122</v>
      </c>
      <c r="F163" s="1" t="s">
        <v>25</v>
      </c>
      <c r="G163" s="1" t="s">
        <v>32</v>
      </c>
      <c r="H163" s="1" t="s">
        <v>45</v>
      </c>
      <c r="I163" s="1" t="s">
        <v>83</v>
      </c>
      <c r="J163" s="1">
        <v>16</v>
      </c>
      <c r="K163" s="15">
        <v>448.85</v>
      </c>
      <c r="L163" s="13">
        <v>0</v>
      </c>
      <c r="M163" s="10">
        <v>354.22</v>
      </c>
      <c r="N163" s="12">
        <f>(Table1[[#This Row],[Quantity]]*Table1[[#This Row],[Unit Price]])*(1-Table1[[#This Row],[Discount]])</f>
        <v>7181.6</v>
      </c>
      <c r="O163" s="12">
        <f>(Table1[[#This Row],[Unit Price]]-Table1[[#This Row],[Unit Cost]])*Table1[[#This Row],[Quantity]]</f>
        <v>1514.08</v>
      </c>
      <c r="P163" s="17" t="str">
        <f t="shared" si="2"/>
        <v>Standard</v>
      </c>
      <c r="Q163" t="str">
        <f>IF(Table1[[#This Row],[Discount]]&gt;=15%,"HIGH",IF(Table1[[#This Row],[Discount]]&gt;=55,"MEDIUM","NONE"))</f>
        <v>NONE</v>
      </c>
      <c r="R163">
        <f>Table1[[#This Row],[Ship Date]]-Table1[[#This Row],[Order Date]]</f>
        <v>0</v>
      </c>
    </row>
    <row r="164" spans="1:18" x14ac:dyDescent="0.25">
      <c r="A164" s="3" t="s">
        <v>446</v>
      </c>
      <c r="B164" s="2" t="s">
        <v>447</v>
      </c>
      <c r="C164" s="2" t="s">
        <v>247</v>
      </c>
      <c r="D164" s="1" t="s">
        <v>16</v>
      </c>
      <c r="E164" s="1" t="s">
        <v>66</v>
      </c>
      <c r="F164" s="1" t="s">
        <v>38</v>
      </c>
      <c r="G164" s="1" t="s">
        <v>19</v>
      </c>
      <c r="H164" s="1" t="s">
        <v>33</v>
      </c>
      <c r="I164" s="1" t="s">
        <v>39</v>
      </c>
      <c r="J164" s="1">
        <v>9</v>
      </c>
      <c r="K164" s="15">
        <v>23.21</v>
      </c>
      <c r="L164" s="13">
        <v>0</v>
      </c>
      <c r="M164" s="10">
        <v>18.23</v>
      </c>
      <c r="N164" s="12">
        <f>(Table1[[#This Row],[Quantity]]*Table1[[#This Row],[Unit Price]])*(1-Table1[[#This Row],[Discount]])</f>
        <v>208.89000000000001</v>
      </c>
      <c r="O164" s="12">
        <f>(Table1[[#This Row],[Unit Price]]-Table1[[#This Row],[Unit Cost]])*Table1[[#This Row],[Quantity]]</f>
        <v>44.820000000000007</v>
      </c>
      <c r="P164" s="17" t="str">
        <f t="shared" si="2"/>
        <v>Bulk</v>
      </c>
      <c r="Q164" t="str">
        <f>IF(Table1[[#This Row],[Discount]]&gt;=15%,"HIGH",IF(Table1[[#This Row],[Discount]]&gt;=55,"MEDIUM","NONE"))</f>
        <v>NONE</v>
      </c>
      <c r="R164">
        <f>Table1[[#This Row],[Ship Date]]-Table1[[#This Row],[Order Date]]</f>
        <v>6</v>
      </c>
    </row>
    <row r="165" spans="1:18" x14ac:dyDescent="0.25">
      <c r="A165" s="3" t="s">
        <v>448</v>
      </c>
      <c r="B165" s="2" t="s">
        <v>449</v>
      </c>
      <c r="C165" s="2" t="s">
        <v>449</v>
      </c>
      <c r="D165" s="1" t="s">
        <v>24</v>
      </c>
      <c r="E165" s="1" t="s">
        <v>66</v>
      </c>
      <c r="F165" s="1" t="s">
        <v>18</v>
      </c>
      <c r="G165" s="1" t="s">
        <v>32</v>
      </c>
      <c r="H165" s="1" t="s">
        <v>45</v>
      </c>
      <c r="I165" s="1" t="s">
        <v>143</v>
      </c>
      <c r="J165" s="1">
        <v>24</v>
      </c>
      <c r="K165" s="15">
        <v>262.36</v>
      </c>
      <c r="L165" s="13">
        <v>0</v>
      </c>
      <c r="M165" s="10">
        <v>181.91</v>
      </c>
      <c r="N165" s="12">
        <f>(Table1[[#This Row],[Quantity]]*Table1[[#This Row],[Unit Price]])*(1-Table1[[#This Row],[Discount]])</f>
        <v>6296.64</v>
      </c>
      <c r="O165" s="12">
        <f>(Table1[[#This Row],[Unit Price]]-Table1[[#This Row],[Unit Cost]])*Table1[[#This Row],[Quantity]]</f>
        <v>1930.8000000000004</v>
      </c>
      <c r="P165" s="17" t="str">
        <f t="shared" si="2"/>
        <v>Standard</v>
      </c>
      <c r="Q165" t="str">
        <f>IF(Table1[[#This Row],[Discount]]&gt;=15%,"HIGH",IF(Table1[[#This Row],[Discount]]&gt;=55,"MEDIUM","NONE"))</f>
        <v>NONE</v>
      </c>
      <c r="R165">
        <f>Table1[[#This Row],[Ship Date]]-Table1[[#This Row],[Order Date]]</f>
        <v>0</v>
      </c>
    </row>
    <row r="166" spans="1:18" x14ac:dyDescent="0.25">
      <c r="A166" s="3" t="s">
        <v>450</v>
      </c>
      <c r="B166" s="2" t="s">
        <v>327</v>
      </c>
      <c r="C166" s="2" t="s">
        <v>451</v>
      </c>
      <c r="D166" s="1" t="s">
        <v>30</v>
      </c>
      <c r="E166" s="1" t="s">
        <v>214</v>
      </c>
      <c r="F166" s="1" t="s">
        <v>43</v>
      </c>
      <c r="G166" s="1" t="s">
        <v>67</v>
      </c>
      <c r="H166" s="1" t="s">
        <v>45</v>
      </c>
      <c r="I166" s="1" t="s">
        <v>148</v>
      </c>
      <c r="J166" s="1">
        <v>15</v>
      </c>
      <c r="K166" s="15">
        <v>545.41999999999996</v>
      </c>
      <c r="L166" s="13">
        <v>0.15</v>
      </c>
      <c r="M166" s="10">
        <v>365.31</v>
      </c>
      <c r="N166" s="12">
        <f>(Table1[[#This Row],[Quantity]]*Table1[[#This Row],[Unit Price]])*(1-Table1[[#This Row],[Discount]])</f>
        <v>6954.1049999999996</v>
      </c>
      <c r="O166" s="12">
        <f>(Table1[[#This Row],[Unit Price]]-Table1[[#This Row],[Unit Cost]])*Table1[[#This Row],[Quantity]]</f>
        <v>2701.6499999999992</v>
      </c>
      <c r="P166" s="17" t="str">
        <f t="shared" si="2"/>
        <v>Bulk</v>
      </c>
      <c r="Q166" t="str">
        <f>IF(Table1[[#This Row],[Discount]]&gt;=15%,"HIGH",IF(Table1[[#This Row],[Discount]]&gt;=55,"MEDIUM","NONE"))</f>
        <v>HIGH</v>
      </c>
      <c r="R166">
        <f>Table1[[#This Row],[Ship Date]]-Table1[[#This Row],[Order Date]]</f>
        <v>3</v>
      </c>
    </row>
    <row r="167" spans="1:18" x14ac:dyDescent="0.25">
      <c r="A167" s="3" t="s">
        <v>452</v>
      </c>
      <c r="B167" s="2" t="s">
        <v>453</v>
      </c>
      <c r="C167" s="2" t="s">
        <v>397</v>
      </c>
      <c r="D167" s="1" t="s">
        <v>16</v>
      </c>
      <c r="E167" s="1" t="s">
        <v>112</v>
      </c>
      <c r="F167" s="1" t="s">
        <v>43</v>
      </c>
      <c r="G167" s="1" t="s">
        <v>19</v>
      </c>
      <c r="H167" s="1" t="s">
        <v>33</v>
      </c>
      <c r="I167" s="1" t="s">
        <v>51</v>
      </c>
      <c r="J167" s="1">
        <v>2</v>
      </c>
      <c r="K167" s="15">
        <v>27.45</v>
      </c>
      <c r="L167" s="13">
        <v>0.1</v>
      </c>
      <c r="M167" s="10">
        <v>16.649999999999999</v>
      </c>
      <c r="N167" s="12">
        <f>(Table1[[#This Row],[Quantity]]*Table1[[#This Row],[Unit Price]])*(1-Table1[[#This Row],[Discount]])</f>
        <v>49.41</v>
      </c>
      <c r="O167" s="12">
        <f>(Table1[[#This Row],[Unit Price]]-Table1[[#This Row],[Unit Cost]])*Table1[[#This Row],[Quantity]]</f>
        <v>21.6</v>
      </c>
      <c r="P167" s="17" t="str">
        <f t="shared" si="2"/>
        <v>Bulk</v>
      </c>
      <c r="Q167" t="str">
        <f>IF(Table1[[#This Row],[Discount]]&gt;=15%,"HIGH",IF(Table1[[#This Row],[Discount]]&gt;=55,"MEDIUM","NONE"))</f>
        <v>NONE</v>
      </c>
      <c r="R167">
        <f>Table1[[#This Row],[Ship Date]]-Table1[[#This Row],[Order Date]]</f>
        <v>5</v>
      </c>
    </row>
    <row r="168" spans="1:18" x14ac:dyDescent="0.25">
      <c r="A168" s="3" t="s">
        <v>454</v>
      </c>
      <c r="B168" s="2" t="s">
        <v>261</v>
      </c>
      <c r="C168" s="2" t="s">
        <v>455</v>
      </c>
      <c r="D168" s="1" t="s">
        <v>16</v>
      </c>
      <c r="E168" s="1" t="s">
        <v>96</v>
      </c>
      <c r="F168" s="1" t="s">
        <v>60</v>
      </c>
      <c r="G168" s="1" t="s">
        <v>50</v>
      </c>
      <c r="H168" s="1" t="s">
        <v>61</v>
      </c>
      <c r="I168" s="1" t="s">
        <v>169</v>
      </c>
      <c r="J168" s="1">
        <v>18</v>
      </c>
      <c r="K168" s="15">
        <v>88.23</v>
      </c>
      <c r="L168" s="13">
        <v>0</v>
      </c>
      <c r="M168" s="10">
        <v>57.5</v>
      </c>
      <c r="N168" s="12">
        <f>(Table1[[#This Row],[Quantity]]*Table1[[#This Row],[Unit Price]])*(1-Table1[[#This Row],[Discount]])</f>
        <v>1588.14</v>
      </c>
      <c r="O168" s="12">
        <f>(Table1[[#This Row],[Unit Price]]-Table1[[#This Row],[Unit Cost]])*Table1[[#This Row],[Quantity]]</f>
        <v>553.1400000000001</v>
      </c>
      <c r="P168" s="17" t="str">
        <f t="shared" si="2"/>
        <v>Standard</v>
      </c>
      <c r="Q168" t="str">
        <f>IF(Table1[[#This Row],[Discount]]&gt;=15%,"HIGH",IF(Table1[[#This Row],[Discount]]&gt;=55,"MEDIUM","NONE"))</f>
        <v>NONE</v>
      </c>
      <c r="R168">
        <f>Table1[[#This Row],[Ship Date]]-Table1[[#This Row],[Order Date]]</f>
        <v>7</v>
      </c>
    </row>
    <row r="169" spans="1:18" x14ac:dyDescent="0.25">
      <c r="A169" s="3" t="s">
        <v>456</v>
      </c>
      <c r="B169" s="2" t="s">
        <v>457</v>
      </c>
      <c r="C169" s="2" t="s">
        <v>458</v>
      </c>
      <c r="D169" s="1" t="s">
        <v>16</v>
      </c>
      <c r="E169" s="1" t="s">
        <v>214</v>
      </c>
      <c r="F169" s="1" t="s">
        <v>18</v>
      </c>
      <c r="G169" s="1" t="s">
        <v>26</v>
      </c>
      <c r="H169" s="1" t="s">
        <v>45</v>
      </c>
      <c r="I169" s="1" t="s">
        <v>148</v>
      </c>
      <c r="J169" s="1">
        <v>21</v>
      </c>
      <c r="K169" s="15">
        <v>484.86</v>
      </c>
      <c r="L169" s="13">
        <v>0.1</v>
      </c>
      <c r="M169" s="10">
        <v>356.21</v>
      </c>
      <c r="N169" s="12">
        <f>(Table1[[#This Row],[Quantity]]*Table1[[#This Row],[Unit Price]])*(1-Table1[[#This Row],[Discount]])</f>
        <v>9163.8539999999994</v>
      </c>
      <c r="O169" s="12">
        <f>(Table1[[#This Row],[Unit Price]]-Table1[[#This Row],[Unit Cost]])*Table1[[#This Row],[Quantity]]</f>
        <v>2701.6500000000005</v>
      </c>
      <c r="P169" s="17" t="str">
        <f t="shared" si="2"/>
        <v>Bulk</v>
      </c>
      <c r="Q169" t="str">
        <f>IF(Table1[[#This Row],[Discount]]&gt;=15%,"HIGH",IF(Table1[[#This Row],[Discount]]&gt;=55,"MEDIUM","NONE"))</f>
        <v>NONE</v>
      </c>
      <c r="R169">
        <f>Table1[[#This Row],[Ship Date]]-Table1[[#This Row],[Order Date]]</f>
        <v>4</v>
      </c>
    </row>
    <row r="170" spans="1:18" x14ac:dyDescent="0.25">
      <c r="A170" s="3" t="s">
        <v>459</v>
      </c>
      <c r="B170" s="2" t="s">
        <v>251</v>
      </c>
      <c r="C170" s="2" t="s">
        <v>251</v>
      </c>
      <c r="D170" s="1" t="s">
        <v>24</v>
      </c>
      <c r="E170" s="1" t="s">
        <v>66</v>
      </c>
      <c r="F170" s="1" t="s">
        <v>60</v>
      </c>
      <c r="G170" s="1" t="s">
        <v>50</v>
      </c>
      <c r="H170" s="1" t="s">
        <v>45</v>
      </c>
      <c r="I170" s="1" t="s">
        <v>46</v>
      </c>
      <c r="J170" s="1">
        <v>10</v>
      </c>
      <c r="K170" s="15">
        <v>708.79</v>
      </c>
      <c r="L170" s="13">
        <v>0</v>
      </c>
      <c r="M170" s="10">
        <v>442.71</v>
      </c>
      <c r="N170" s="12">
        <f>(Table1[[#This Row],[Quantity]]*Table1[[#This Row],[Unit Price]])*(1-Table1[[#This Row],[Discount]])</f>
        <v>7087.9</v>
      </c>
      <c r="O170" s="12">
        <f>(Table1[[#This Row],[Unit Price]]-Table1[[#This Row],[Unit Cost]])*Table1[[#This Row],[Quantity]]</f>
        <v>2660.7999999999997</v>
      </c>
      <c r="P170" s="17" t="str">
        <f t="shared" si="2"/>
        <v>Bulk</v>
      </c>
      <c r="Q170" t="str">
        <f>IF(Table1[[#This Row],[Discount]]&gt;=15%,"HIGH",IF(Table1[[#This Row],[Discount]]&gt;=55,"MEDIUM","NONE"))</f>
        <v>NONE</v>
      </c>
      <c r="R170">
        <f>Table1[[#This Row],[Ship Date]]-Table1[[#This Row],[Order Date]]</f>
        <v>0</v>
      </c>
    </row>
    <row r="171" spans="1:18" x14ac:dyDescent="0.25">
      <c r="A171" s="3" t="s">
        <v>460</v>
      </c>
      <c r="B171" s="2" t="s">
        <v>461</v>
      </c>
      <c r="C171" s="2" t="s">
        <v>461</v>
      </c>
      <c r="D171" s="1" t="s">
        <v>24</v>
      </c>
      <c r="E171" s="1" t="s">
        <v>66</v>
      </c>
      <c r="F171" s="1" t="s">
        <v>38</v>
      </c>
      <c r="G171" s="1" t="s">
        <v>50</v>
      </c>
      <c r="H171" s="1" t="s">
        <v>61</v>
      </c>
      <c r="I171" s="1" t="s">
        <v>72</v>
      </c>
      <c r="J171" s="1">
        <v>15</v>
      </c>
      <c r="K171" s="15">
        <v>31.83</v>
      </c>
      <c r="L171" s="13">
        <v>0.2</v>
      </c>
      <c r="M171" s="10">
        <v>18.399999999999999</v>
      </c>
      <c r="N171" s="12">
        <f>(Table1[[#This Row],[Quantity]]*Table1[[#This Row],[Unit Price]])*(1-Table1[[#This Row],[Discount]])</f>
        <v>381.96000000000004</v>
      </c>
      <c r="O171" s="12">
        <f>(Table1[[#This Row],[Unit Price]]-Table1[[#This Row],[Unit Cost]])*Table1[[#This Row],[Quantity]]</f>
        <v>201.45</v>
      </c>
      <c r="P171" s="17" t="str">
        <f t="shared" si="2"/>
        <v>Standard</v>
      </c>
      <c r="Q171" t="str">
        <f>IF(Table1[[#This Row],[Discount]]&gt;=15%,"HIGH",IF(Table1[[#This Row],[Discount]]&gt;=55,"MEDIUM","NONE"))</f>
        <v>HIGH</v>
      </c>
      <c r="R171">
        <f>Table1[[#This Row],[Ship Date]]-Table1[[#This Row],[Order Date]]</f>
        <v>0</v>
      </c>
    </row>
    <row r="172" spans="1:18" x14ac:dyDescent="0.25">
      <c r="A172" s="3" t="s">
        <v>462</v>
      </c>
      <c r="B172" s="2" t="s">
        <v>463</v>
      </c>
      <c r="C172" s="2" t="s">
        <v>463</v>
      </c>
      <c r="D172" s="1" t="s">
        <v>24</v>
      </c>
      <c r="E172" s="1" t="s">
        <v>117</v>
      </c>
      <c r="F172" s="1" t="s">
        <v>43</v>
      </c>
      <c r="G172" s="1" t="s">
        <v>44</v>
      </c>
      <c r="H172" s="1" t="s">
        <v>33</v>
      </c>
      <c r="I172" s="1" t="s">
        <v>51</v>
      </c>
      <c r="J172" s="1">
        <v>22</v>
      </c>
      <c r="K172" s="15">
        <v>30.78</v>
      </c>
      <c r="L172" s="13">
        <v>0</v>
      </c>
      <c r="M172" s="10">
        <v>21.63</v>
      </c>
      <c r="N172" s="12">
        <f>(Table1[[#This Row],[Quantity]]*Table1[[#This Row],[Unit Price]])*(1-Table1[[#This Row],[Discount]])</f>
        <v>677.16000000000008</v>
      </c>
      <c r="O172" s="12">
        <f>(Table1[[#This Row],[Unit Price]]-Table1[[#This Row],[Unit Cost]])*Table1[[#This Row],[Quantity]]</f>
        <v>201.30000000000004</v>
      </c>
      <c r="P172" s="17" t="str">
        <f t="shared" si="2"/>
        <v>Bulk</v>
      </c>
      <c r="Q172" t="str">
        <f>IF(Table1[[#This Row],[Discount]]&gt;=15%,"HIGH",IF(Table1[[#This Row],[Discount]]&gt;=55,"MEDIUM","NONE"))</f>
        <v>NONE</v>
      </c>
      <c r="R172">
        <f>Table1[[#This Row],[Ship Date]]-Table1[[#This Row],[Order Date]]</f>
        <v>0</v>
      </c>
    </row>
    <row r="173" spans="1:18" x14ac:dyDescent="0.25">
      <c r="A173" s="3" t="s">
        <v>464</v>
      </c>
      <c r="B173" s="2" t="s">
        <v>388</v>
      </c>
      <c r="C173" s="2" t="s">
        <v>465</v>
      </c>
      <c r="D173" s="1" t="s">
        <v>16</v>
      </c>
      <c r="E173" s="1" t="s">
        <v>96</v>
      </c>
      <c r="F173" s="1" t="s">
        <v>60</v>
      </c>
      <c r="G173" s="1" t="s">
        <v>50</v>
      </c>
      <c r="H173" s="1" t="s">
        <v>33</v>
      </c>
      <c r="I173" s="1" t="s">
        <v>34</v>
      </c>
      <c r="J173" s="1">
        <v>16</v>
      </c>
      <c r="K173" s="15">
        <v>14.3</v>
      </c>
      <c r="L173" s="13">
        <v>0</v>
      </c>
      <c r="M173" s="10">
        <v>7.89</v>
      </c>
      <c r="N173" s="12">
        <f>(Table1[[#This Row],[Quantity]]*Table1[[#This Row],[Unit Price]])*(1-Table1[[#This Row],[Discount]])</f>
        <v>228.8</v>
      </c>
      <c r="O173" s="12">
        <f>(Table1[[#This Row],[Unit Price]]-Table1[[#This Row],[Unit Cost]])*Table1[[#This Row],[Quantity]]</f>
        <v>102.56000000000002</v>
      </c>
      <c r="P173" s="17" t="str">
        <f t="shared" si="2"/>
        <v>Bulk</v>
      </c>
      <c r="Q173" t="str">
        <f>IF(Table1[[#This Row],[Discount]]&gt;=15%,"HIGH",IF(Table1[[#This Row],[Discount]]&gt;=55,"MEDIUM","NONE"))</f>
        <v>NONE</v>
      </c>
      <c r="R173">
        <f>Table1[[#This Row],[Ship Date]]-Table1[[#This Row],[Order Date]]</f>
        <v>7</v>
      </c>
    </row>
    <row r="174" spans="1:18" x14ac:dyDescent="0.25">
      <c r="A174" s="3" t="s">
        <v>466</v>
      </c>
      <c r="B174" s="2" t="s">
        <v>256</v>
      </c>
      <c r="C174" s="2" t="s">
        <v>102</v>
      </c>
      <c r="D174" s="1" t="s">
        <v>30</v>
      </c>
      <c r="E174" s="1" t="s">
        <v>109</v>
      </c>
      <c r="F174" s="1" t="s">
        <v>18</v>
      </c>
      <c r="G174" s="1" t="s">
        <v>26</v>
      </c>
      <c r="H174" s="1" t="s">
        <v>33</v>
      </c>
      <c r="I174" s="1" t="s">
        <v>39</v>
      </c>
      <c r="J174" s="1">
        <v>21</v>
      </c>
      <c r="K174" s="15">
        <v>15.66</v>
      </c>
      <c r="L174" s="13">
        <v>0</v>
      </c>
      <c r="M174" s="10">
        <v>8.86</v>
      </c>
      <c r="N174" s="12">
        <f>(Table1[[#This Row],[Quantity]]*Table1[[#This Row],[Unit Price]])*(1-Table1[[#This Row],[Discount]])</f>
        <v>328.86</v>
      </c>
      <c r="O174" s="12">
        <f>(Table1[[#This Row],[Unit Price]]-Table1[[#This Row],[Unit Cost]])*Table1[[#This Row],[Quantity]]</f>
        <v>142.80000000000001</v>
      </c>
      <c r="P174" s="17" t="str">
        <f t="shared" si="2"/>
        <v>Bulk</v>
      </c>
      <c r="Q174" t="str">
        <f>IF(Table1[[#This Row],[Discount]]&gt;=15%,"HIGH",IF(Table1[[#This Row],[Discount]]&gt;=55,"MEDIUM","NONE"))</f>
        <v>NONE</v>
      </c>
      <c r="R174">
        <f>Table1[[#This Row],[Ship Date]]-Table1[[#This Row],[Order Date]]</f>
        <v>3</v>
      </c>
    </row>
    <row r="175" spans="1:18" x14ac:dyDescent="0.25">
      <c r="A175" s="3" t="s">
        <v>467</v>
      </c>
      <c r="B175" s="2" t="s">
        <v>468</v>
      </c>
      <c r="C175" s="2" t="s">
        <v>468</v>
      </c>
      <c r="D175" s="1" t="s">
        <v>24</v>
      </c>
      <c r="E175" s="1" t="s">
        <v>214</v>
      </c>
      <c r="F175" s="1" t="s">
        <v>38</v>
      </c>
      <c r="G175" s="1" t="s">
        <v>67</v>
      </c>
      <c r="H175" s="1" t="s">
        <v>45</v>
      </c>
      <c r="I175" s="1" t="s">
        <v>143</v>
      </c>
      <c r="J175" s="1">
        <v>10</v>
      </c>
      <c r="K175" s="15">
        <v>331.98</v>
      </c>
      <c r="L175" s="13">
        <v>0</v>
      </c>
      <c r="M175" s="10">
        <v>200.78</v>
      </c>
      <c r="N175" s="12">
        <f>(Table1[[#This Row],[Quantity]]*Table1[[#This Row],[Unit Price]])*(1-Table1[[#This Row],[Discount]])</f>
        <v>3319.8</v>
      </c>
      <c r="O175" s="12">
        <f>(Table1[[#This Row],[Unit Price]]-Table1[[#This Row],[Unit Cost]])*Table1[[#This Row],[Quantity]]</f>
        <v>1312.0000000000002</v>
      </c>
      <c r="P175" s="17" t="str">
        <f t="shared" si="2"/>
        <v>Bulk</v>
      </c>
      <c r="Q175" t="str">
        <f>IF(Table1[[#This Row],[Discount]]&gt;=15%,"HIGH",IF(Table1[[#This Row],[Discount]]&gt;=55,"MEDIUM","NONE"))</f>
        <v>NONE</v>
      </c>
      <c r="R175">
        <f>Table1[[#This Row],[Ship Date]]-Table1[[#This Row],[Order Date]]</f>
        <v>0</v>
      </c>
    </row>
    <row r="176" spans="1:18" x14ac:dyDescent="0.25">
      <c r="A176" s="3" t="s">
        <v>469</v>
      </c>
      <c r="B176" s="2" t="s">
        <v>470</v>
      </c>
      <c r="C176" s="2" t="s">
        <v>470</v>
      </c>
      <c r="D176" s="1" t="s">
        <v>24</v>
      </c>
      <c r="E176" s="1" t="s">
        <v>31</v>
      </c>
      <c r="F176" s="1" t="s">
        <v>18</v>
      </c>
      <c r="G176" s="1" t="s">
        <v>82</v>
      </c>
      <c r="H176" s="1" t="s">
        <v>61</v>
      </c>
      <c r="I176" s="1" t="s">
        <v>72</v>
      </c>
      <c r="J176" s="1">
        <v>22</v>
      </c>
      <c r="K176" s="15">
        <v>76.05</v>
      </c>
      <c r="L176" s="13">
        <v>0.2</v>
      </c>
      <c r="M176" s="10">
        <v>46.53</v>
      </c>
      <c r="N176" s="12">
        <f>(Table1[[#This Row],[Quantity]]*Table1[[#This Row],[Unit Price]])*(1-Table1[[#This Row],[Discount]])</f>
        <v>1338.48</v>
      </c>
      <c r="O176" s="12">
        <f>(Table1[[#This Row],[Unit Price]]-Table1[[#This Row],[Unit Cost]])*Table1[[#This Row],[Quantity]]</f>
        <v>649.43999999999994</v>
      </c>
      <c r="P176" s="17" t="str">
        <f t="shared" si="2"/>
        <v>Standard</v>
      </c>
      <c r="Q176" t="str">
        <f>IF(Table1[[#This Row],[Discount]]&gt;=15%,"HIGH",IF(Table1[[#This Row],[Discount]]&gt;=55,"MEDIUM","NONE"))</f>
        <v>HIGH</v>
      </c>
      <c r="R176">
        <f>Table1[[#This Row],[Ship Date]]-Table1[[#This Row],[Order Date]]</f>
        <v>0</v>
      </c>
    </row>
    <row r="177" spans="1:18" x14ac:dyDescent="0.25">
      <c r="A177" s="3" t="s">
        <v>471</v>
      </c>
      <c r="B177" s="2" t="s">
        <v>472</v>
      </c>
      <c r="C177" s="2" t="s">
        <v>472</v>
      </c>
      <c r="D177" s="1" t="s">
        <v>24</v>
      </c>
      <c r="E177" s="1" t="s">
        <v>96</v>
      </c>
      <c r="F177" s="1" t="s">
        <v>38</v>
      </c>
      <c r="G177" s="1" t="s">
        <v>26</v>
      </c>
      <c r="H177" s="1" t="s">
        <v>33</v>
      </c>
      <c r="I177" s="1" t="s">
        <v>34</v>
      </c>
      <c r="J177" s="1">
        <v>17</v>
      </c>
      <c r="K177" s="15">
        <v>9.68</v>
      </c>
      <c r="L177" s="13">
        <v>0.1</v>
      </c>
      <c r="M177" s="10">
        <v>5.69</v>
      </c>
      <c r="N177" s="12">
        <f>(Table1[[#This Row],[Quantity]]*Table1[[#This Row],[Unit Price]])*(1-Table1[[#This Row],[Discount]])</f>
        <v>148.10400000000001</v>
      </c>
      <c r="O177" s="12">
        <f>(Table1[[#This Row],[Unit Price]]-Table1[[#This Row],[Unit Cost]])*Table1[[#This Row],[Quantity]]</f>
        <v>67.829999999999984</v>
      </c>
      <c r="P177" s="17" t="str">
        <f t="shared" si="2"/>
        <v>Bulk</v>
      </c>
      <c r="Q177" t="str">
        <f>IF(Table1[[#This Row],[Discount]]&gt;=15%,"HIGH",IF(Table1[[#This Row],[Discount]]&gt;=55,"MEDIUM","NONE"))</f>
        <v>NONE</v>
      </c>
      <c r="R177">
        <f>Table1[[#This Row],[Ship Date]]-Table1[[#This Row],[Order Date]]</f>
        <v>0</v>
      </c>
    </row>
    <row r="178" spans="1:18" x14ac:dyDescent="0.25">
      <c r="A178" s="3" t="s">
        <v>473</v>
      </c>
      <c r="B178" s="2" t="s">
        <v>290</v>
      </c>
      <c r="C178" s="2" t="s">
        <v>474</v>
      </c>
      <c r="D178" s="1" t="s">
        <v>16</v>
      </c>
      <c r="E178" s="1" t="s">
        <v>49</v>
      </c>
      <c r="F178" s="1" t="s">
        <v>60</v>
      </c>
      <c r="G178" s="1" t="s">
        <v>82</v>
      </c>
      <c r="H178" s="1" t="s">
        <v>45</v>
      </c>
      <c r="I178" s="1" t="s">
        <v>83</v>
      </c>
      <c r="J178" s="1">
        <v>15</v>
      </c>
      <c r="K178" s="15">
        <v>157.63999999999999</v>
      </c>
      <c r="L178" s="13">
        <v>0.05</v>
      </c>
      <c r="M178" s="10">
        <v>104.7</v>
      </c>
      <c r="N178" s="12">
        <f>(Table1[[#This Row],[Quantity]]*Table1[[#This Row],[Unit Price]])*(1-Table1[[#This Row],[Discount]])</f>
        <v>2246.37</v>
      </c>
      <c r="O178" s="12">
        <f>(Table1[[#This Row],[Unit Price]]-Table1[[#This Row],[Unit Cost]])*Table1[[#This Row],[Quantity]]</f>
        <v>794.0999999999998</v>
      </c>
      <c r="P178" s="17" t="str">
        <f t="shared" si="2"/>
        <v>Bulk</v>
      </c>
      <c r="Q178" t="str">
        <f>IF(Table1[[#This Row],[Discount]]&gt;=15%,"HIGH",IF(Table1[[#This Row],[Discount]]&gt;=55,"MEDIUM","NONE"))</f>
        <v>NONE</v>
      </c>
      <c r="R178">
        <f>Table1[[#This Row],[Ship Date]]-Table1[[#This Row],[Order Date]]</f>
        <v>4</v>
      </c>
    </row>
    <row r="179" spans="1:18" x14ac:dyDescent="0.25">
      <c r="A179" s="3" t="s">
        <v>475</v>
      </c>
      <c r="B179" s="2" t="s">
        <v>293</v>
      </c>
      <c r="C179" s="2" t="s">
        <v>293</v>
      </c>
      <c r="D179" s="1" t="s">
        <v>24</v>
      </c>
      <c r="E179" s="1" t="s">
        <v>37</v>
      </c>
      <c r="F179" s="1" t="s">
        <v>60</v>
      </c>
      <c r="G179" s="1" t="s">
        <v>26</v>
      </c>
      <c r="H179" s="1" t="s">
        <v>33</v>
      </c>
      <c r="I179" s="1" t="s">
        <v>34</v>
      </c>
      <c r="J179" s="1">
        <v>7</v>
      </c>
      <c r="K179" s="15">
        <v>23.98</v>
      </c>
      <c r="L179" s="13">
        <v>0</v>
      </c>
      <c r="M179" s="10">
        <v>15.73</v>
      </c>
      <c r="N179" s="12">
        <f>(Table1[[#This Row],[Quantity]]*Table1[[#This Row],[Unit Price]])*(1-Table1[[#This Row],[Discount]])</f>
        <v>167.86</v>
      </c>
      <c r="O179" s="12">
        <f>(Table1[[#This Row],[Unit Price]]-Table1[[#This Row],[Unit Cost]])*Table1[[#This Row],[Quantity]]</f>
        <v>57.75</v>
      </c>
      <c r="P179" s="17" t="str">
        <f t="shared" si="2"/>
        <v>Bulk</v>
      </c>
      <c r="Q179" t="str">
        <f>IF(Table1[[#This Row],[Discount]]&gt;=15%,"HIGH",IF(Table1[[#This Row],[Discount]]&gt;=55,"MEDIUM","NONE"))</f>
        <v>NONE</v>
      </c>
      <c r="R179">
        <f>Table1[[#This Row],[Ship Date]]-Table1[[#This Row],[Order Date]]</f>
        <v>0</v>
      </c>
    </row>
    <row r="180" spans="1:18" x14ac:dyDescent="0.25">
      <c r="A180" s="3" t="s">
        <v>476</v>
      </c>
      <c r="B180" s="2" t="s">
        <v>411</v>
      </c>
      <c r="C180" s="2" t="s">
        <v>477</v>
      </c>
      <c r="D180" s="1" t="s">
        <v>16</v>
      </c>
      <c r="E180" s="1" t="s">
        <v>31</v>
      </c>
      <c r="F180" s="1" t="s">
        <v>18</v>
      </c>
      <c r="G180" s="1" t="s">
        <v>50</v>
      </c>
      <c r="H180" s="1" t="s">
        <v>61</v>
      </c>
      <c r="I180" s="1" t="s">
        <v>106</v>
      </c>
      <c r="J180" s="1">
        <v>25</v>
      </c>
      <c r="K180" s="15">
        <v>61.32</v>
      </c>
      <c r="L180" s="13">
        <v>0.15</v>
      </c>
      <c r="M180" s="10">
        <v>43.63</v>
      </c>
      <c r="N180" s="12">
        <f>(Table1[[#This Row],[Quantity]]*Table1[[#This Row],[Unit Price]])*(1-Table1[[#This Row],[Discount]])</f>
        <v>1303.05</v>
      </c>
      <c r="O180" s="12">
        <f>(Table1[[#This Row],[Unit Price]]-Table1[[#This Row],[Unit Cost]])*Table1[[#This Row],[Quantity]]</f>
        <v>442.24999999999994</v>
      </c>
      <c r="P180" s="17" t="str">
        <f t="shared" si="2"/>
        <v>Standard</v>
      </c>
      <c r="Q180" t="str">
        <f>IF(Table1[[#This Row],[Discount]]&gt;=15%,"HIGH",IF(Table1[[#This Row],[Discount]]&gt;=55,"MEDIUM","NONE"))</f>
        <v>HIGH</v>
      </c>
      <c r="R180">
        <f>Table1[[#This Row],[Ship Date]]-Table1[[#This Row],[Order Date]]</f>
        <v>7</v>
      </c>
    </row>
    <row r="181" spans="1:18" x14ac:dyDescent="0.25">
      <c r="A181" s="3" t="s">
        <v>478</v>
      </c>
      <c r="B181" s="2" t="s">
        <v>479</v>
      </c>
      <c r="C181" s="2" t="s">
        <v>479</v>
      </c>
      <c r="D181" s="1" t="s">
        <v>24</v>
      </c>
      <c r="E181" s="1" t="s">
        <v>49</v>
      </c>
      <c r="F181" s="1" t="s">
        <v>60</v>
      </c>
      <c r="G181" s="1" t="s">
        <v>50</v>
      </c>
      <c r="H181" s="1" t="s">
        <v>61</v>
      </c>
      <c r="I181" s="1" t="s">
        <v>62</v>
      </c>
      <c r="J181" s="1">
        <v>12</v>
      </c>
      <c r="K181" s="15">
        <v>19.489999999999998</v>
      </c>
      <c r="L181" s="13">
        <v>0.1</v>
      </c>
      <c r="M181" s="10">
        <v>12.63</v>
      </c>
      <c r="N181" s="12">
        <f>(Table1[[#This Row],[Quantity]]*Table1[[#This Row],[Unit Price]])*(1-Table1[[#This Row],[Discount]])</f>
        <v>210.49199999999999</v>
      </c>
      <c r="O181" s="12">
        <f>(Table1[[#This Row],[Unit Price]]-Table1[[#This Row],[Unit Cost]])*Table1[[#This Row],[Quantity]]</f>
        <v>82.319999999999965</v>
      </c>
      <c r="P181" s="17" t="str">
        <f t="shared" si="2"/>
        <v>Bulk</v>
      </c>
      <c r="Q181" t="str">
        <f>IF(Table1[[#This Row],[Discount]]&gt;=15%,"HIGH",IF(Table1[[#This Row],[Discount]]&gt;=55,"MEDIUM","NONE"))</f>
        <v>NONE</v>
      </c>
      <c r="R181">
        <f>Table1[[#This Row],[Ship Date]]-Table1[[#This Row],[Order Date]]</f>
        <v>0</v>
      </c>
    </row>
    <row r="182" spans="1:18" x14ac:dyDescent="0.25">
      <c r="A182" s="3" t="s">
        <v>480</v>
      </c>
      <c r="B182" s="2" t="s">
        <v>481</v>
      </c>
      <c r="C182" s="2" t="s">
        <v>481</v>
      </c>
      <c r="D182" s="1" t="s">
        <v>24</v>
      </c>
      <c r="E182" s="1" t="s">
        <v>122</v>
      </c>
      <c r="F182" s="1" t="s">
        <v>60</v>
      </c>
      <c r="G182" s="1" t="s">
        <v>97</v>
      </c>
      <c r="H182" s="1" t="s">
        <v>20</v>
      </c>
      <c r="I182" s="1" t="s">
        <v>134</v>
      </c>
      <c r="J182" s="1">
        <v>13</v>
      </c>
      <c r="K182" s="15">
        <v>996.86</v>
      </c>
      <c r="L182" s="13">
        <v>0</v>
      </c>
      <c r="M182" s="10">
        <v>663.07</v>
      </c>
      <c r="N182" s="12">
        <f>(Table1[[#This Row],[Quantity]]*Table1[[#This Row],[Unit Price]])*(1-Table1[[#This Row],[Discount]])</f>
        <v>12959.18</v>
      </c>
      <c r="O182" s="12">
        <f>(Table1[[#This Row],[Unit Price]]-Table1[[#This Row],[Unit Cost]])*Table1[[#This Row],[Quantity]]</f>
        <v>4339.2699999999995</v>
      </c>
      <c r="P182" s="17" t="str">
        <f t="shared" si="2"/>
        <v>Bulk</v>
      </c>
      <c r="Q182" t="str">
        <f>IF(Table1[[#This Row],[Discount]]&gt;=15%,"HIGH",IF(Table1[[#This Row],[Discount]]&gt;=55,"MEDIUM","NONE"))</f>
        <v>NONE</v>
      </c>
      <c r="R182">
        <f>Table1[[#This Row],[Ship Date]]-Table1[[#This Row],[Order Date]]</f>
        <v>0</v>
      </c>
    </row>
    <row r="183" spans="1:18" x14ac:dyDescent="0.25">
      <c r="A183" s="3" t="s">
        <v>482</v>
      </c>
      <c r="B183" s="2" t="s">
        <v>483</v>
      </c>
      <c r="C183" s="2" t="s">
        <v>484</v>
      </c>
      <c r="D183" s="1" t="s">
        <v>16</v>
      </c>
      <c r="E183" s="1" t="s">
        <v>112</v>
      </c>
      <c r="F183" s="1" t="s">
        <v>60</v>
      </c>
      <c r="G183" s="1" t="s">
        <v>26</v>
      </c>
      <c r="H183" s="1" t="s">
        <v>20</v>
      </c>
      <c r="I183" s="1" t="s">
        <v>21</v>
      </c>
      <c r="J183" s="1">
        <v>7</v>
      </c>
      <c r="K183" s="15">
        <v>127.38</v>
      </c>
      <c r="L183" s="13">
        <v>0.1</v>
      </c>
      <c r="M183" s="10">
        <v>71.13</v>
      </c>
      <c r="N183" s="12">
        <f>(Table1[[#This Row],[Quantity]]*Table1[[#This Row],[Unit Price]])*(1-Table1[[#This Row],[Discount]])</f>
        <v>802.49400000000003</v>
      </c>
      <c r="O183" s="12">
        <f>(Table1[[#This Row],[Unit Price]]-Table1[[#This Row],[Unit Cost]])*Table1[[#This Row],[Quantity]]</f>
        <v>393.75</v>
      </c>
      <c r="P183" s="17" t="str">
        <f t="shared" si="2"/>
        <v>Bulk</v>
      </c>
      <c r="Q183" t="str">
        <f>IF(Table1[[#This Row],[Discount]]&gt;=15%,"HIGH",IF(Table1[[#This Row],[Discount]]&gt;=55,"MEDIUM","NONE"))</f>
        <v>NONE</v>
      </c>
      <c r="R183">
        <f>Table1[[#This Row],[Ship Date]]-Table1[[#This Row],[Order Date]]</f>
        <v>4</v>
      </c>
    </row>
    <row r="184" spans="1:18" x14ac:dyDescent="0.25">
      <c r="A184" s="3" t="s">
        <v>485</v>
      </c>
      <c r="B184" s="2" t="s">
        <v>486</v>
      </c>
      <c r="C184" s="2" t="s">
        <v>487</v>
      </c>
      <c r="D184" s="1" t="s">
        <v>16</v>
      </c>
      <c r="E184" s="1" t="s">
        <v>122</v>
      </c>
      <c r="F184" s="1" t="s">
        <v>25</v>
      </c>
      <c r="G184" s="1" t="s">
        <v>19</v>
      </c>
      <c r="H184" s="1" t="s">
        <v>61</v>
      </c>
      <c r="I184" s="1" t="s">
        <v>62</v>
      </c>
      <c r="J184" s="1">
        <v>5</v>
      </c>
      <c r="K184" s="15">
        <v>50.31</v>
      </c>
      <c r="L184" s="13">
        <v>0</v>
      </c>
      <c r="M184" s="10">
        <v>30.62</v>
      </c>
      <c r="N184" s="12">
        <f>(Table1[[#This Row],[Quantity]]*Table1[[#This Row],[Unit Price]])*(1-Table1[[#This Row],[Discount]])</f>
        <v>251.55</v>
      </c>
      <c r="O184" s="12">
        <f>(Table1[[#This Row],[Unit Price]]-Table1[[#This Row],[Unit Cost]])*Table1[[#This Row],[Quantity]]</f>
        <v>98.45</v>
      </c>
      <c r="P184" s="17" t="str">
        <f t="shared" si="2"/>
        <v>Standard</v>
      </c>
      <c r="Q184" t="str">
        <f>IF(Table1[[#This Row],[Discount]]&gt;=15%,"HIGH",IF(Table1[[#This Row],[Discount]]&gt;=55,"MEDIUM","NONE"))</f>
        <v>NONE</v>
      </c>
      <c r="R184">
        <f>Table1[[#This Row],[Ship Date]]-Table1[[#This Row],[Order Date]]</f>
        <v>6</v>
      </c>
    </row>
    <row r="185" spans="1:18" x14ac:dyDescent="0.25">
      <c r="A185" s="3" t="s">
        <v>488</v>
      </c>
      <c r="B185" s="2" t="s">
        <v>136</v>
      </c>
      <c r="C185" s="2" t="s">
        <v>489</v>
      </c>
      <c r="D185" s="1" t="s">
        <v>30</v>
      </c>
      <c r="E185" s="1" t="s">
        <v>17</v>
      </c>
      <c r="F185" s="1" t="s">
        <v>38</v>
      </c>
      <c r="G185" s="1" t="s">
        <v>97</v>
      </c>
      <c r="H185" s="1" t="s">
        <v>33</v>
      </c>
      <c r="I185" s="1" t="s">
        <v>51</v>
      </c>
      <c r="J185" s="1">
        <v>9</v>
      </c>
      <c r="K185" s="15">
        <v>4.32</v>
      </c>
      <c r="L185" s="13">
        <v>0.1</v>
      </c>
      <c r="M185" s="10">
        <v>3.33</v>
      </c>
      <c r="N185" s="12">
        <f>(Table1[[#This Row],[Quantity]]*Table1[[#This Row],[Unit Price]])*(1-Table1[[#This Row],[Discount]])</f>
        <v>34.992000000000004</v>
      </c>
      <c r="O185" s="12">
        <f>(Table1[[#This Row],[Unit Price]]-Table1[[#This Row],[Unit Cost]])*Table1[[#This Row],[Quantity]]</f>
        <v>8.9100000000000019</v>
      </c>
      <c r="P185" s="17" t="str">
        <f t="shared" si="2"/>
        <v>Standard</v>
      </c>
      <c r="Q185" t="str">
        <f>IF(Table1[[#This Row],[Discount]]&gt;=15%,"HIGH",IF(Table1[[#This Row],[Discount]]&gt;=55,"MEDIUM","NONE"))</f>
        <v>NONE</v>
      </c>
      <c r="R185">
        <f>Table1[[#This Row],[Ship Date]]-Table1[[#This Row],[Order Date]]</f>
        <v>3</v>
      </c>
    </row>
    <row r="186" spans="1:18" x14ac:dyDescent="0.25">
      <c r="A186" s="3" t="s">
        <v>490</v>
      </c>
      <c r="B186" s="2" t="s">
        <v>491</v>
      </c>
      <c r="C186" s="2" t="s">
        <v>491</v>
      </c>
      <c r="D186" s="1" t="s">
        <v>24</v>
      </c>
      <c r="E186" s="1" t="s">
        <v>55</v>
      </c>
      <c r="F186" s="1" t="s">
        <v>18</v>
      </c>
      <c r="G186" s="1" t="s">
        <v>32</v>
      </c>
      <c r="H186" s="1" t="s">
        <v>61</v>
      </c>
      <c r="I186" s="1" t="s">
        <v>106</v>
      </c>
      <c r="J186" s="1">
        <v>14</v>
      </c>
      <c r="K186" s="15">
        <v>42.66</v>
      </c>
      <c r="L186" s="13">
        <v>0</v>
      </c>
      <c r="M186" s="10">
        <v>27.48</v>
      </c>
      <c r="N186" s="12">
        <f>(Table1[[#This Row],[Quantity]]*Table1[[#This Row],[Unit Price]])*(1-Table1[[#This Row],[Discount]])</f>
        <v>597.24</v>
      </c>
      <c r="O186" s="12">
        <f>(Table1[[#This Row],[Unit Price]]-Table1[[#This Row],[Unit Cost]])*Table1[[#This Row],[Quantity]]</f>
        <v>212.51999999999995</v>
      </c>
      <c r="P186" s="17" t="str">
        <f t="shared" si="2"/>
        <v>Standard</v>
      </c>
      <c r="Q186" t="str">
        <f>IF(Table1[[#This Row],[Discount]]&gt;=15%,"HIGH",IF(Table1[[#This Row],[Discount]]&gt;=55,"MEDIUM","NONE"))</f>
        <v>NONE</v>
      </c>
      <c r="R186">
        <f>Table1[[#This Row],[Ship Date]]-Table1[[#This Row],[Order Date]]</f>
        <v>0</v>
      </c>
    </row>
    <row r="187" spans="1:18" x14ac:dyDescent="0.25">
      <c r="A187" s="3" t="s">
        <v>492</v>
      </c>
      <c r="B187" s="2" t="s">
        <v>493</v>
      </c>
      <c r="C187" s="2" t="s">
        <v>494</v>
      </c>
      <c r="D187" s="1" t="s">
        <v>30</v>
      </c>
      <c r="E187" s="1" t="s">
        <v>133</v>
      </c>
      <c r="F187" s="1" t="s">
        <v>60</v>
      </c>
      <c r="G187" s="1" t="s">
        <v>97</v>
      </c>
      <c r="H187" s="1" t="s">
        <v>33</v>
      </c>
      <c r="I187" s="1" t="s">
        <v>51</v>
      </c>
      <c r="J187" s="1">
        <v>18</v>
      </c>
      <c r="K187" s="15">
        <v>22.14</v>
      </c>
      <c r="L187" s="13">
        <v>0.05</v>
      </c>
      <c r="M187" s="10">
        <v>13.52</v>
      </c>
      <c r="N187" s="12">
        <f>(Table1[[#This Row],[Quantity]]*Table1[[#This Row],[Unit Price]])*(1-Table1[[#This Row],[Discount]])</f>
        <v>378.59399999999994</v>
      </c>
      <c r="O187" s="12">
        <f>(Table1[[#This Row],[Unit Price]]-Table1[[#This Row],[Unit Cost]])*Table1[[#This Row],[Quantity]]</f>
        <v>155.16000000000003</v>
      </c>
      <c r="P187" s="17" t="str">
        <f t="shared" si="2"/>
        <v>Bulk</v>
      </c>
      <c r="Q187" t="str">
        <f>IF(Table1[[#This Row],[Discount]]&gt;=15%,"HIGH",IF(Table1[[#This Row],[Discount]]&gt;=55,"MEDIUM","NONE"))</f>
        <v>NONE</v>
      </c>
      <c r="R187">
        <f>Table1[[#This Row],[Ship Date]]-Table1[[#This Row],[Order Date]]</f>
        <v>3</v>
      </c>
    </row>
    <row r="188" spans="1:18" x14ac:dyDescent="0.25">
      <c r="A188" s="3" t="s">
        <v>495</v>
      </c>
      <c r="B188" s="2" t="s">
        <v>496</v>
      </c>
      <c r="C188" s="2" t="s">
        <v>457</v>
      </c>
      <c r="D188" s="1" t="s">
        <v>16</v>
      </c>
      <c r="E188" s="1" t="s">
        <v>49</v>
      </c>
      <c r="F188" s="1" t="s">
        <v>18</v>
      </c>
      <c r="G188" s="1" t="s">
        <v>19</v>
      </c>
      <c r="H188" s="1" t="s">
        <v>20</v>
      </c>
      <c r="I188" s="1" t="s">
        <v>139</v>
      </c>
      <c r="J188" s="1">
        <v>9</v>
      </c>
      <c r="K188" s="15">
        <v>483.74</v>
      </c>
      <c r="L188" s="13">
        <v>0.1</v>
      </c>
      <c r="M188" s="10">
        <v>338.97</v>
      </c>
      <c r="N188" s="12">
        <f>(Table1[[#This Row],[Quantity]]*Table1[[#This Row],[Unit Price]])*(1-Table1[[#This Row],[Discount]])</f>
        <v>3918.2939999999999</v>
      </c>
      <c r="O188" s="12">
        <f>(Table1[[#This Row],[Unit Price]]-Table1[[#This Row],[Unit Cost]])*Table1[[#This Row],[Quantity]]</f>
        <v>1302.9299999999998</v>
      </c>
      <c r="P188" s="17" t="str">
        <f t="shared" si="2"/>
        <v>Bulk</v>
      </c>
      <c r="Q188" t="str">
        <f>IF(Table1[[#This Row],[Discount]]&gt;=15%,"HIGH",IF(Table1[[#This Row],[Discount]]&gt;=55,"MEDIUM","NONE"))</f>
        <v>NONE</v>
      </c>
      <c r="R188">
        <f>Table1[[#This Row],[Ship Date]]-Table1[[#This Row],[Order Date]]</f>
        <v>4</v>
      </c>
    </row>
    <row r="189" spans="1:18" x14ac:dyDescent="0.25">
      <c r="A189" s="3" t="s">
        <v>497</v>
      </c>
      <c r="B189" s="2" t="s">
        <v>442</v>
      </c>
      <c r="C189" s="2" t="s">
        <v>498</v>
      </c>
      <c r="D189" s="1" t="s">
        <v>16</v>
      </c>
      <c r="E189" s="1" t="s">
        <v>117</v>
      </c>
      <c r="F189" s="1" t="s">
        <v>25</v>
      </c>
      <c r="G189" s="1" t="s">
        <v>44</v>
      </c>
      <c r="H189" s="1" t="s">
        <v>45</v>
      </c>
      <c r="I189" s="1" t="s">
        <v>143</v>
      </c>
      <c r="J189" s="1">
        <v>7</v>
      </c>
      <c r="K189" s="15">
        <v>753.5</v>
      </c>
      <c r="L189" s="13">
        <v>0.15</v>
      </c>
      <c r="M189" s="10">
        <v>436.52</v>
      </c>
      <c r="N189" s="12">
        <f>(Table1[[#This Row],[Quantity]]*Table1[[#This Row],[Unit Price]])*(1-Table1[[#This Row],[Discount]])</f>
        <v>4483.3249999999998</v>
      </c>
      <c r="O189" s="12">
        <f>(Table1[[#This Row],[Unit Price]]-Table1[[#This Row],[Unit Cost]])*Table1[[#This Row],[Quantity]]</f>
        <v>2218.86</v>
      </c>
      <c r="P189" s="17" t="str">
        <f t="shared" si="2"/>
        <v>Standard</v>
      </c>
      <c r="Q189" t="str">
        <f>IF(Table1[[#This Row],[Discount]]&gt;=15%,"HIGH",IF(Table1[[#This Row],[Discount]]&gt;=55,"MEDIUM","NONE"))</f>
        <v>HIGH</v>
      </c>
      <c r="R189">
        <f>Table1[[#This Row],[Ship Date]]-Table1[[#This Row],[Order Date]]</f>
        <v>7</v>
      </c>
    </row>
    <row r="190" spans="1:18" x14ac:dyDescent="0.25">
      <c r="A190" s="3" t="s">
        <v>499</v>
      </c>
      <c r="B190" s="2" t="s">
        <v>240</v>
      </c>
      <c r="C190" s="2" t="s">
        <v>500</v>
      </c>
      <c r="D190" s="1" t="s">
        <v>30</v>
      </c>
      <c r="E190" s="1" t="s">
        <v>122</v>
      </c>
      <c r="F190" s="1" t="s">
        <v>25</v>
      </c>
      <c r="G190" s="1" t="s">
        <v>32</v>
      </c>
      <c r="H190" s="1" t="s">
        <v>45</v>
      </c>
      <c r="I190" s="1" t="s">
        <v>143</v>
      </c>
      <c r="J190" s="1">
        <v>13</v>
      </c>
      <c r="K190" s="15">
        <v>405.03</v>
      </c>
      <c r="L190" s="13">
        <v>0.15</v>
      </c>
      <c r="M190" s="10">
        <v>259.14</v>
      </c>
      <c r="N190" s="12">
        <f>(Table1[[#This Row],[Quantity]]*Table1[[#This Row],[Unit Price]])*(1-Table1[[#This Row],[Discount]])</f>
        <v>4475.5814999999993</v>
      </c>
      <c r="O190" s="12">
        <f>(Table1[[#This Row],[Unit Price]]-Table1[[#This Row],[Unit Cost]])*Table1[[#This Row],[Quantity]]</f>
        <v>1896.5699999999997</v>
      </c>
      <c r="P190" s="17" t="str">
        <f t="shared" si="2"/>
        <v>Standard</v>
      </c>
      <c r="Q190" t="str">
        <f>IF(Table1[[#This Row],[Discount]]&gt;=15%,"HIGH",IF(Table1[[#This Row],[Discount]]&gt;=55,"MEDIUM","NONE"))</f>
        <v>HIGH</v>
      </c>
      <c r="R190">
        <f>Table1[[#This Row],[Ship Date]]-Table1[[#This Row],[Order Date]]</f>
        <v>3</v>
      </c>
    </row>
    <row r="191" spans="1:18" x14ac:dyDescent="0.25">
      <c r="A191" s="3" t="s">
        <v>501</v>
      </c>
      <c r="B191" s="2" t="s">
        <v>502</v>
      </c>
      <c r="C191" s="2" t="s">
        <v>503</v>
      </c>
      <c r="D191" s="1" t="s">
        <v>16</v>
      </c>
      <c r="E191" s="1" t="s">
        <v>66</v>
      </c>
      <c r="F191" s="1" t="s">
        <v>43</v>
      </c>
      <c r="G191" s="1" t="s">
        <v>32</v>
      </c>
      <c r="H191" s="1" t="s">
        <v>61</v>
      </c>
      <c r="I191" s="1" t="s">
        <v>62</v>
      </c>
      <c r="J191" s="1">
        <v>12</v>
      </c>
      <c r="K191" s="15">
        <v>35.03</v>
      </c>
      <c r="L191" s="13">
        <v>0</v>
      </c>
      <c r="M191" s="10">
        <v>24.19</v>
      </c>
      <c r="N191" s="12">
        <f>(Table1[[#This Row],[Quantity]]*Table1[[#This Row],[Unit Price]])*(1-Table1[[#This Row],[Discount]])</f>
        <v>420.36</v>
      </c>
      <c r="O191" s="12">
        <f>(Table1[[#This Row],[Unit Price]]-Table1[[#This Row],[Unit Cost]])*Table1[[#This Row],[Quantity]]</f>
        <v>130.07999999999998</v>
      </c>
      <c r="P191" s="17" t="str">
        <f t="shared" si="2"/>
        <v>Bulk</v>
      </c>
      <c r="Q191" t="str">
        <f>IF(Table1[[#This Row],[Discount]]&gt;=15%,"HIGH",IF(Table1[[#This Row],[Discount]]&gt;=55,"MEDIUM","NONE"))</f>
        <v>NONE</v>
      </c>
      <c r="R191">
        <f>Table1[[#This Row],[Ship Date]]-Table1[[#This Row],[Order Date]]</f>
        <v>5</v>
      </c>
    </row>
    <row r="192" spans="1:18" x14ac:dyDescent="0.25">
      <c r="A192" s="3" t="s">
        <v>504</v>
      </c>
      <c r="B192" s="2" t="s">
        <v>505</v>
      </c>
      <c r="C192" s="2" t="s">
        <v>301</v>
      </c>
      <c r="D192" s="1" t="s">
        <v>30</v>
      </c>
      <c r="E192" s="1" t="s">
        <v>109</v>
      </c>
      <c r="F192" s="1" t="s">
        <v>38</v>
      </c>
      <c r="G192" s="1" t="s">
        <v>97</v>
      </c>
      <c r="H192" s="1" t="s">
        <v>33</v>
      </c>
      <c r="I192" s="1" t="s">
        <v>153</v>
      </c>
      <c r="J192" s="1">
        <v>5</v>
      </c>
      <c r="K192" s="15">
        <v>9.4600000000000009</v>
      </c>
      <c r="L192" s="13">
        <v>0</v>
      </c>
      <c r="M192" s="10">
        <v>6.1</v>
      </c>
      <c r="N192" s="12">
        <f>(Table1[[#This Row],[Quantity]]*Table1[[#This Row],[Unit Price]])*(1-Table1[[#This Row],[Discount]])</f>
        <v>47.300000000000004</v>
      </c>
      <c r="O192" s="12">
        <f>(Table1[[#This Row],[Unit Price]]-Table1[[#This Row],[Unit Cost]])*Table1[[#This Row],[Quantity]]</f>
        <v>16.800000000000004</v>
      </c>
      <c r="P192" s="17" t="str">
        <f t="shared" si="2"/>
        <v>Bulk</v>
      </c>
      <c r="Q192" t="str">
        <f>IF(Table1[[#This Row],[Discount]]&gt;=15%,"HIGH",IF(Table1[[#This Row],[Discount]]&gt;=55,"MEDIUM","NONE"))</f>
        <v>NONE</v>
      </c>
      <c r="R192">
        <f>Table1[[#This Row],[Ship Date]]-Table1[[#This Row],[Order Date]]</f>
        <v>3</v>
      </c>
    </row>
    <row r="193" spans="1:18" x14ac:dyDescent="0.25">
      <c r="A193" s="3" t="s">
        <v>506</v>
      </c>
      <c r="B193" s="2" t="s">
        <v>229</v>
      </c>
      <c r="C193" s="2" t="s">
        <v>507</v>
      </c>
      <c r="D193" s="1" t="s">
        <v>16</v>
      </c>
      <c r="E193" s="1" t="s">
        <v>66</v>
      </c>
      <c r="F193" s="1" t="s">
        <v>60</v>
      </c>
      <c r="G193" s="1" t="s">
        <v>82</v>
      </c>
      <c r="H193" s="1" t="s">
        <v>33</v>
      </c>
      <c r="I193" s="1" t="s">
        <v>39</v>
      </c>
      <c r="J193" s="1">
        <v>24</v>
      </c>
      <c r="K193" s="15">
        <v>32.21</v>
      </c>
      <c r="L193" s="13">
        <v>0</v>
      </c>
      <c r="M193" s="10">
        <v>18.84</v>
      </c>
      <c r="N193" s="12">
        <f>(Table1[[#This Row],[Quantity]]*Table1[[#This Row],[Unit Price]])*(1-Table1[[#This Row],[Discount]])</f>
        <v>773.04</v>
      </c>
      <c r="O193" s="12">
        <f>(Table1[[#This Row],[Unit Price]]-Table1[[#This Row],[Unit Cost]])*Table1[[#This Row],[Quantity]]</f>
        <v>320.88</v>
      </c>
      <c r="P193" s="17" t="str">
        <f t="shared" si="2"/>
        <v>Standard</v>
      </c>
      <c r="Q193" t="str">
        <f>IF(Table1[[#This Row],[Discount]]&gt;=15%,"HIGH",IF(Table1[[#This Row],[Discount]]&gt;=55,"MEDIUM","NONE"))</f>
        <v>NONE</v>
      </c>
      <c r="R193">
        <f>Table1[[#This Row],[Ship Date]]-Table1[[#This Row],[Order Date]]</f>
        <v>7</v>
      </c>
    </row>
    <row r="194" spans="1:18" x14ac:dyDescent="0.25">
      <c r="A194" s="3" t="s">
        <v>508</v>
      </c>
      <c r="B194" s="2" t="s">
        <v>509</v>
      </c>
      <c r="C194" s="2" t="s">
        <v>510</v>
      </c>
      <c r="D194" s="1" t="s">
        <v>16</v>
      </c>
      <c r="E194" s="1" t="s">
        <v>49</v>
      </c>
      <c r="F194" s="1" t="s">
        <v>43</v>
      </c>
      <c r="G194" s="1" t="s">
        <v>26</v>
      </c>
      <c r="H194" s="1" t="s">
        <v>20</v>
      </c>
      <c r="I194" s="1" t="s">
        <v>192</v>
      </c>
      <c r="J194" s="1">
        <v>14</v>
      </c>
      <c r="K194" s="15">
        <v>208.12</v>
      </c>
      <c r="L194" s="13">
        <v>0.15</v>
      </c>
      <c r="M194" s="10">
        <v>126.51</v>
      </c>
      <c r="N194" s="12">
        <f>(Table1[[#This Row],[Quantity]]*Table1[[#This Row],[Unit Price]])*(1-Table1[[#This Row],[Discount]])</f>
        <v>2476.6280000000002</v>
      </c>
      <c r="O194" s="12">
        <f>(Table1[[#This Row],[Unit Price]]-Table1[[#This Row],[Unit Cost]])*Table1[[#This Row],[Quantity]]</f>
        <v>1142.54</v>
      </c>
      <c r="P194" s="17" t="str">
        <f t="shared" ref="P194:P257" si="3">IF(J193&gt;10,"Bulk","Standard")</f>
        <v>Bulk</v>
      </c>
      <c r="Q194" t="str">
        <f>IF(Table1[[#This Row],[Discount]]&gt;=15%,"HIGH",IF(Table1[[#This Row],[Discount]]&gt;=55,"MEDIUM","NONE"))</f>
        <v>HIGH</v>
      </c>
      <c r="R194">
        <f>Table1[[#This Row],[Ship Date]]-Table1[[#This Row],[Order Date]]</f>
        <v>5</v>
      </c>
    </row>
    <row r="195" spans="1:18" x14ac:dyDescent="0.25">
      <c r="A195" s="3" t="s">
        <v>511</v>
      </c>
      <c r="B195" s="2" t="s">
        <v>404</v>
      </c>
      <c r="C195" s="2" t="s">
        <v>404</v>
      </c>
      <c r="D195" s="1" t="s">
        <v>24</v>
      </c>
      <c r="E195" s="1" t="s">
        <v>112</v>
      </c>
      <c r="F195" s="1" t="s">
        <v>43</v>
      </c>
      <c r="G195" s="1" t="s">
        <v>82</v>
      </c>
      <c r="H195" s="1" t="s">
        <v>61</v>
      </c>
      <c r="I195" s="1" t="s">
        <v>169</v>
      </c>
      <c r="J195" s="1">
        <v>16</v>
      </c>
      <c r="K195" s="15">
        <v>11.26</v>
      </c>
      <c r="L195" s="13">
        <v>0.1</v>
      </c>
      <c r="M195" s="10">
        <v>7.75</v>
      </c>
      <c r="N195" s="12">
        <f>(Table1[[#This Row],[Quantity]]*Table1[[#This Row],[Unit Price]])*(1-Table1[[#This Row],[Discount]])</f>
        <v>162.14400000000001</v>
      </c>
      <c r="O195" s="12">
        <f>(Table1[[#This Row],[Unit Price]]-Table1[[#This Row],[Unit Cost]])*Table1[[#This Row],[Quantity]]</f>
        <v>56.16</v>
      </c>
      <c r="P195" s="17" t="str">
        <f t="shared" si="3"/>
        <v>Bulk</v>
      </c>
      <c r="Q195" t="str">
        <f>IF(Table1[[#This Row],[Discount]]&gt;=15%,"HIGH",IF(Table1[[#This Row],[Discount]]&gt;=55,"MEDIUM","NONE"))</f>
        <v>NONE</v>
      </c>
      <c r="R195">
        <f>Table1[[#This Row],[Ship Date]]-Table1[[#This Row],[Order Date]]</f>
        <v>0</v>
      </c>
    </row>
    <row r="196" spans="1:18" x14ac:dyDescent="0.25">
      <c r="A196" s="3" t="s">
        <v>512</v>
      </c>
      <c r="B196" s="2" t="s">
        <v>513</v>
      </c>
      <c r="C196" s="2" t="s">
        <v>514</v>
      </c>
      <c r="D196" s="1" t="s">
        <v>16</v>
      </c>
      <c r="E196" s="1" t="s">
        <v>91</v>
      </c>
      <c r="F196" s="1" t="s">
        <v>18</v>
      </c>
      <c r="G196" s="1" t="s">
        <v>97</v>
      </c>
      <c r="H196" s="1" t="s">
        <v>33</v>
      </c>
      <c r="I196" s="1" t="s">
        <v>153</v>
      </c>
      <c r="J196" s="1">
        <v>4</v>
      </c>
      <c r="K196" s="15">
        <v>36.89</v>
      </c>
      <c r="L196" s="13">
        <v>0.1</v>
      </c>
      <c r="M196" s="10">
        <v>21.66</v>
      </c>
      <c r="N196" s="12">
        <f>(Table1[[#This Row],[Quantity]]*Table1[[#This Row],[Unit Price]])*(1-Table1[[#This Row],[Discount]])</f>
        <v>132.804</v>
      </c>
      <c r="O196" s="12">
        <f>(Table1[[#This Row],[Unit Price]]-Table1[[#This Row],[Unit Cost]])*Table1[[#This Row],[Quantity]]</f>
        <v>60.92</v>
      </c>
      <c r="P196" s="17" t="str">
        <f t="shared" si="3"/>
        <v>Bulk</v>
      </c>
      <c r="Q196" t="str">
        <f>IF(Table1[[#This Row],[Discount]]&gt;=15%,"HIGH",IF(Table1[[#This Row],[Discount]]&gt;=55,"MEDIUM","NONE"))</f>
        <v>NONE</v>
      </c>
      <c r="R196">
        <f>Table1[[#This Row],[Ship Date]]-Table1[[#This Row],[Order Date]]</f>
        <v>5</v>
      </c>
    </row>
    <row r="197" spans="1:18" x14ac:dyDescent="0.25">
      <c r="A197" s="3" t="s">
        <v>515</v>
      </c>
      <c r="B197" s="2" t="s">
        <v>516</v>
      </c>
      <c r="C197" s="2" t="s">
        <v>517</v>
      </c>
      <c r="D197" s="1" t="s">
        <v>30</v>
      </c>
      <c r="E197" s="1" t="s">
        <v>206</v>
      </c>
      <c r="F197" s="1" t="s">
        <v>43</v>
      </c>
      <c r="G197" s="1" t="s">
        <v>97</v>
      </c>
      <c r="H197" s="1" t="s">
        <v>33</v>
      </c>
      <c r="I197" s="1" t="s">
        <v>76</v>
      </c>
      <c r="J197" s="1">
        <v>19</v>
      </c>
      <c r="K197" s="15">
        <v>11.24</v>
      </c>
      <c r="L197" s="13">
        <v>0.15</v>
      </c>
      <c r="M197" s="10">
        <v>6.82</v>
      </c>
      <c r="N197" s="12">
        <f>(Table1[[#This Row],[Quantity]]*Table1[[#This Row],[Unit Price]])*(1-Table1[[#This Row],[Discount]])</f>
        <v>181.52600000000001</v>
      </c>
      <c r="O197" s="12">
        <f>(Table1[[#This Row],[Unit Price]]-Table1[[#This Row],[Unit Cost]])*Table1[[#This Row],[Quantity]]</f>
        <v>83.98</v>
      </c>
      <c r="P197" s="17" t="str">
        <f t="shared" si="3"/>
        <v>Standard</v>
      </c>
      <c r="Q197" t="str">
        <f>IF(Table1[[#This Row],[Discount]]&gt;=15%,"HIGH",IF(Table1[[#This Row],[Discount]]&gt;=55,"MEDIUM","NONE"))</f>
        <v>HIGH</v>
      </c>
      <c r="R197">
        <f>Table1[[#This Row],[Ship Date]]-Table1[[#This Row],[Order Date]]</f>
        <v>2</v>
      </c>
    </row>
    <row r="198" spans="1:18" x14ac:dyDescent="0.25">
      <c r="A198" s="3" t="s">
        <v>518</v>
      </c>
      <c r="B198" s="2" t="s">
        <v>286</v>
      </c>
      <c r="C198" s="2" t="s">
        <v>261</v>
      </c>
      <c r="D198" s="1" t="s">
        <v>16</v>
      </c>
      <c r="E198" s="1" t="s">
        <v>122</v>
      </c>
      <c r="F198" s="1" t="s">
        <v>60</v>
      </c>
      <c r="G198" s="1" t="s">
        <v>82</v>
      </c>
      <c r="H198" s="1" t="s">
        <v>61</v>
      </c>
      <c r="I198" s="1" t="s">
        <v>62</v>
      </c>
      <c r="J198" s="1">
        <v>21</v>
      </c>
      <c r="K198" s="15">
        <v>10.76</v>
      </c>
      <c r="L198" s="13">
        <v>0</v>
      </c>
      <c r="M198" s="10">
        <v>6.14</v>
      </c>
      <c r="N198" s="12">
        <f>(Table1[[#This Row],[Quantity]]*Table1[[#This Row],[Unit Price]])*(1-Table1[[#This Row],[Discount]])</f>
        <v>225.96</v>
      </c>
      <c r="O198" s="12">
        <f>(Table1[[#This Row],[Unit Price]]-Table1[[#This Row],[Unit Cost]])*Table1[[#This Row],[Quantity]]</f>
        <v>97.02</v>
      </c>
      <c r="P198" s="17" t="str">
        <f t="shared" si="3"/>
        <v>Bulk</v>
      </c>
      <c r="Q198" t="str">
        <f>IF(Table1[[#This Row],[Discount]]&gt;=15%,"HIGH",IF(Table1[[#This Row],[Discount]]&gt;=55,"MEDIUM","NONE"))</f>
        <v>NONE</v>
      </c>
      <c r="R198">
        <f>Table1[[#This Row],[Ship Date]]-Table1[[#This Row],[Order Date]]</f>
        <v>7</v>
      </c>
    </row>
    <row r="199" spans="1:18" x14ac:dyDescent="0.25">
      <c r="A199" s="3" t="s">
        <v>519</v>
      </c>
      <c r="B199" s="2" t="s">
        <v>520</v>
      </c>
      <c r="C199" s="2" t="s">
        <v>520</v>
      </c>
      <c r="D199" s="1" t="s">
        <v>24</v>
      </c>
      <c r="E199" s="1" t="s">
        <v>17</v>
      </c>
      <c r="F199" s="1" t="s">
        <v>43</v>
      </c>
      <c r="G199" s="1" t="s">
        <v>19</v>
      </c>
      <c r="H199" s="1" t="s">
        <v>20</v>
      </c>
      <c r="I199" s="1" t="s">
        <v>192</v>
      </c>
      <c r="J199" s="1">
        <v>19</v>
      </c>
      <c r="K199" s="15">
        <v>596.83000000000004</v>
      </c>
      <c r="L199" s="13">
        <v>0</v>
      </c>
      <c r="M199" s="10">
        <v>466.15</v>
      </c>
      <c r="N199" s="12">
        <f>(Table1[[#This Row],[Quantity]]*Table1[[#This Row],[Unit Price]])*(1-Table1[[#This Row],[Discount]])</f>
        <v>11339.77</v>
      </c>
      <c r="O199" s="12">
        <f>(Table1[[#This Row],[Unit Price]]-Table1[[#This Row],[Unit Cost]])*Table1[[#This Row],[Quantity]]</f>
        <v>2482.920000000001</v>
      </c>
      <c r="P199" s="17" t="str">
        <f t="shared" si="3"/>
        <v>Bulk</v>
      </c>
      <c r="Q199" t="str">
        <f>IF(Table1[[#This Row],[Discount]]&gt;=15%,"HIGH",IF(Table1[[#This Row],[Discount]]&gt;=55,"MEDIUM","NONE"))</f>
        <v>NONE</v>
      </c>
      <c r="R199">
        <f>Table1[[#This Row],[Ship Date]]-Table1[[#This Row],[Order Date]]</f>
        <v>0</v>
      </c>
    </row>
    <row r="200" spans="1:18" x14ac:dyDescent="0.25">
      <c r="A200" s="3" t="s">
        <v>521</v>
      </c>
      <c r="B200" s="2" t="s">
        <v>522</v>
      </c>
      <c r="C200" s="2" t="s">
        <v>522</v>
      </c>
      <c r="D200" s="1" t="s">
        <v>24</v>
      </c>
      <c r="E200" s="1" t="s">
        <v>109</v>
      </c>
      <c r="F200" s="1" t="s">
        <v>25</v>
      </c>
      <c r="G200" s="1" t="s">
        <v>50</v>
      </c>
      <c r="H200" s="1" t="s">
        <v>33</v>
      </c>
      <c r="I200" s="1" t="s">
        <v>34</v>
      </c>
      <c r="J200" s="1">
        <v>13</v>
      </c>
      <c r="K200" s="15">
        <v>37.299999999999997</v>
      </c>
      <c r="L200" s="13">
        <v>0</v>
      </c>
      <c r="M200" s="10">
        <v>22.03</v>
      </c>
      <c r="N200" s="12">
        <f>(Table1[[#This Row],[Quantity]]*Table1[[#This Row],[Unit Price]])*(1-Table1[[#This Row],[Discount]])</f>
        <v>484.9</v>
      </c>
      <c r="O200" s="12">
        <f>(Table1[[#This Row],[Unit Price]]-Table1[[#This Row],[Unit Cost]])*Table1[[#This Row],[Quantity]]</f>
        <v>198.50999999999993</v>
      </c>
      <c r="P200" s="17" t="str">
        <f t="shared" si="3"/>
        <v>Bulk</v>
      </c>
      <c r="Q200" t="str">
        <f>IF(Table1[[#This Row],[Discount]]&gt;=15%,"HIGH",IF(Table1[[#This Row],[Discount]]&gt;=55,"MEDIUM","NONE"))</f>
        <v>NONE</v>
      </c>
      <c r="R200">
        <f>Table1[[#This Row],[Ship Date]]-Table1[[#This Row],[Order Date]]</f>
        <v>0</v>
      </c>
    </row>
    <row r="201" spans="1:18" x14ac:dyDescent="0.25">
      <c r="A201" s="3" t="s">
        <v>523</v>
      </c>
      <c r="B201" s="2" t="s">
        <v>357</v>
      </c>
      <c r="C201" s="2" t="s">
        <v>344</v>
      </c>
      <c r="D201" s="1" t="s">
        <v>16</v>
      </c>
      <c r="E201" s="1" t="s">
        <v>49</v>
      </c>
      <c r="F201" s="1" t="s">
        <v>25</v>
      </c>
      <c r="G201" s="1" t="s">
        <v>32</v>
      </c>
      <c r="H201" s="1" t="s">
        <v>33</v>
      </c>
      <c r="I201" s="1" t="s">
        <v>76</v>
      </c>
      <c r="J201" s="1">
        <v>4</v>
      </c>
      <c r="K201" s="15">
        <v>18.61</v>
      </c>
      <c r="L201" s="13">
        <v>0.2</v>
      </c>
      <c r="M201" s="10">
        <v>10.59</v>
      </c>
      <c r="N201" s="12">
        <f>(Table1[[#This Row],[Quantity]]*Table1[[#This Row],[Unit Price]])*(1-Table1[[#This Row],[Discount]])</f>
        <v>59.552</v>
      </c>
      <c r="O201" s="12">
        <f>(Table1[[#This Row],[Unit Price]]-Table1[[#This Row],[Unit Cost]])*Table1[[#This Row],[Quantity]]</f>
        <v>32.08</v>
      </c>
      <c r="P201" s="17" t="str">
        <f t="shared" si="3"/>
        <v>Bulk</v>
      </c>
      <c r="Q201" t="str">
        <f>IF(Table1[[#This Row],[Discount]]&gt;=15%,"HIGH",IF(Table1[[#This Row],[Discount]]&gt;=55,"MEDIUM","NONE"))</f>
        <v>HIGH</v>
      </c>
      <c r="R201">
        <f>Table1[[#This Row],[Ship Date]]-Table1[[#This Row],[Order Date]]</f>
        <v>7</v>
      </c>
    </row>
    <row r="202" spans="1:18" x14ac:dyDescent="0.25">
      <c r="A202" s="3" t="s">
        <v>524</v>
      </c>
      <c r="B202" s="2" t="s">
        <v>525</v>
      </c>
      <c r="C202" s="2" t="s">
        <v>525</v>
      </c>
      <c r="D202" s="1" t="s">
        <v>24</v>
      </c>
      <c r="E202" s="1" t="s">
        <v>17</v>
      </c>
      <c r="F202" s="1" t="s">
        <v>60</v>
      </c>
      <c r="G202" s="1" t="s">
        <v>32</v>
      </c>
      <c r="H202" s="1" t="s">
        <v>33</v>
      </c>
      <c r="I202" s="1" t="s">
        <v>76</v>
      </c>
      <c r="J202" s="1">
        <v>13</v>
      </c>
      <c r="K202" s="15">
        <v>18.41</v>
      </c>
      <c r="L202" s="13">
        <v>0.15</v>
      </c>
      <c r="M202" s="10">
        <v>12.82</v>
      </c>
      <c r="N202" s="12">
        <f>(Table1[[#This Row],[Quantity]]*Table1[[#This Row],[Unit Price]])*(1-Table1[[#This Row],[Discount]])</f>
        <v>203.43049999999999</v>
      </c>
      <c r="O202" s="12">
        <f>(Table1[[#This Row],[Unit Price]]-Table1[[#This Row],[Unit Cost]])*Table1[[#This Row],[Quantity]]</f>
        <v>72.67</v>
      </c>
      <c r="P202" s="17" t="str">
        <f t="shared" si="3"/>
        <v>Standard</v>
      </c>
      <c r="Q202" t="str">
        <f>IF(Table1[[#This Row],[Discount]]&gt;=15%,"HIGH",IF(Table1[[#This Row],[Discount]]&gt;=55,"MEDIUM","NONE"))</f>
        <v>HIGH</v>
      </c>
      <c r="R202">
        <f>Table1[[#This Row],[Ship Date]]-Table1[[#This Row],[Order Date]]</f>
        <v>0</v>
      </c>
    </row>
    <row r="203" spans="1:18" x14ac:dyDescent="0.25">
      <c r="A203" s="3" t="s">
        <v>526</v>
      </c>
      <c r="B203" s="2" t="s">
        <v>527</v>
      </c>
      <c r="C203" s="2" t="s">
        <v>417</v>
      </c>
      <c r="D203" s="1" t="s">
        <v>16</v>
      </c>
      <c r="E203" s="1" t="s">
        <v>49</v>
      </c>
      <c r="F203" s="1" t="s">
        <v>43</v>
      </c>
      <c r="G203" s="1" t="s">
        <v>44</v>
      </c>
      <c r="H203" s="1" t="s">
        <v>33</v>
      </c>
      <c r="I203" s="1" t="s">
        <v>51</v>
      </c>
      <c r="J203" s="1">
        <v>13</v>
      </c>
      <c r="K203" s="15">
        <v>29.04</v>
      </c>
      <c r="L203" s="13">
        <v>0.15</v>
      </c>
      <c r="M203" s="10">
        <v>17.09</v>
      </c>
      <c r="N203" s="12">
        <f>(Table1[[#This Row],[Quantity]]*Table1[[#This Row],[Unit Price]])*(1-Table1[[#This Row],[Discount]])</f>
        <v>320.892</v>
      </c>
      <c r="O203" s="12">
        <f>(Table1[[#This Row],[Unit Price]]-Table1[[#This Row],[Unit Cost]])*Table1[[#This Row],[Quantity]]</f>
        <v>155.35</v>
      </c>
      <c r="P203" s="17" t="str">
        <f t="shared" si="3"/>
        <v>Bulk</v>
      </c>
      <c r="Q203" t="str">
        <f>IF(Table1[[#This Row],[Discount]]&gt;=15%,"HIGH",IF(Table1[[#This Row],[Discount]]&gt;=55,"MEDIUM","NONE"))</f>
        <v>HIGH</v>
      </c>
      <c r="R203">
        <f>Table1[[#This Row],[Ship Date]]-Table1[[#This Row],[Order Date]]</f>
        <v>7</v>
      </c>
    </row>
    <row r="204" spans="1:18" x14ac:dyDescent="0.25">
      <c r="A204" s="3" t="s">
        <v>528</v>
      </c>
      <c r="B204" s="2" t="s">
        <v>529</v>
      </c>
      <c r="C204" s="2" t="s">
        <v>395</v>
      </c>
      <c r="D204" s="1" t="s">
        <v>30</v>
      </c>
      <c r="E204" s="1" t="s">
        <v>214</v>
      </c>
      <c r="F204" s="1" t="s">
        <v>43</v>
      </c>
      <c r="G204" s="1" t="s">
        <v>82</v>
      </c>
      <c r="H204" s="1" t="s">
        <v>20</v>
      </c>
      <c r="I204" s="1" t="s">
        <v>21</v>
      </c>
      <c r="J204" s="1">
        <v>25</v>
      </c>
      <c r="K204" s="15">
        <v>360.23</v>
      </c>
      <c r="L204" s="13">
        <v>0</v>
      </c>
      <c r="M204" s="10">
        <v>205.99</v>
      </c>
      <c r="N204" s="12">
        <f>(Table1[[#This Row],[Quantity]]*Table1[[#This Row],[Unit Price]])*(1-Table1[[#This Row],[Discount]])</f>
        <v>9005.75</v>
      </c>
      <c r="O204" s="12">
        <f>(Table1[[#This Row],[Unit Price]]-Table1[[#This Row],[Unit Cost]])*Table1[[#This Row],[Quantity]]</f>
        <v>3856</v>
      </c>
      <c r="P204" s="17" t="str">
        <f t="shared" si="3"/>
        <v>Bulk</v>
      </c>
      <c r="Q204" t="str">
        <f>IF(Table1[[#This Row],[Discount]]&gt;=15%,"HIGH",IF(Table1[[#This Row],[Discount]]&gt;=55,"MEDIUM","NONE"))</f>
        <v>NONE</v>
      </c>
      <c r="R204">
        <f>Table1[[#This Row],[Ship Date]]-Table1[[#This Row],[Order Date]]</f>
        <v>3</v>
      </c>
    </row>
    <row r="205" spans="1:18" x14ac:dyDescent="0.25">
      <c r="A205" s="3" t="s">
        <v>530</v>
      </c>
      <c r="B205" s="2" t="s">
        <v>507</v>
      </c>
      <c r="C205" s="2" t="s">
        <v>507</v>
      </c>
      <c r="D205" s="1" t="s">
        <v>24</v>
      </c>
      <c r="E205" s="1" t="s">
        <v>49</v>
      </c>
      <c r="F205" s="1" t="s">
        <v>43</v>
      </c>
      <c r="G205" s="1" t="s">
        <v>32</v>
      </c>
      <c r="H205" s="1" t="s">
        <v>61</v>
      </c>
      <c r="I205" s="1" t="s">
        <v>106</v>
      </c>
      <c r="J205" s="1">
        <v>3</v>
      </c>
      <c r="K205" s="15">
        <v>57.75</v>
      </c>
      <c r="L205" s="13">
        <v>0.2</v>
      </c>
      <c r="M205" s="10">
        <v>36.450000000000003</v>
      </c>
      <c r="N205" s="12">
        <f>(Table1[[#This Row],[Quantity]]*Table1[[#This Row],[Unit Price]])*(1-Table1[[#This Row],[Discount]])</f>
        <v>138.6</v>
      </c>
      <c r="O205" s="12">
        <f>(Table1[[#This Row],[Unit Price]]-Table1[[#This Row],[Unit Cost]])*Table1[[#This Row],[Quantity]]</f>
        <v>63.899999999999991</v>
      </c>
      <c r="P205" s="17" t="str">
        <f t="shared" si="3"/>
        <v>Bulk</v>
      </c>
      <c r="Q205" t="str">
        <f>IF(Table1[[#This Row],[Discount]]&gt;=15%,"HIGH",IF(Table1[[#This Row],[Discount]]&gt;=55,"MEDIUM","NONE"))</f>
        <v>HIGH</v>
      </c>
      <c r="R205">
        <f>Table1[[#This Row],[Ship Date]]-Table1[[#This Row],[Order Date]]</f>
        <v>0</v>
      </c>
    </row>
    <row r="206" spans="1:18" x14ac:dyDescent="0.25">
      <c r="A206" s="3" t="s">
        <v>531</v>
      </c>
      <c r="B206" s="2" t="s">
        <v>532</v>
      </c>
      <c r="C206" s="2" t="s">
        <v>532</v>
      </c>
      <c r="D206" s="1" t="s">
        <v>24</v>
      </c>
      <c r="E206" s="1" t="s">
        <v>122</v>
      </c>
      <c r="F206" s="1" t="s">
        <v>43</v>
      </c>
      <c r="G206" s="1" t="s">
        <v>19</v>
      </c>
      <c r="H206" s="1" t="s">
        <v>61</v>
      </c>
      <c r="I206" s="1" t="s">
        <v>62</v>
      </c>
      <c r="J206" s="1">
        <v>17</v>
      </c>
      <c r="K206" s="15">
        <v>23.57</v>
      </c>
      <c r="L206" s="13">
        <v>0.05</v>
      </c>
      <c r="M206" s="10">
        <v>13.96</v>
      </c>
      <c r="N206" s="12">
        <f>(Table1[[#This Row],[Quantity]]*Table1[[#This Row],[Unit Price]])*(1-Table1[[#This Row],[Discount]])</f>
        <v>380.65549999999996</v>
      </c>
      <c r="O206" s="12">
        <f>(Table1[[#This Row],[Unit Price]]-Table1[[#This Row],[Unit Cost]])*Table1[[#This Row],[Quantity]]</f>
        <v>163.37</v>
      </c>
      <c r="P206" s="17" t="str">
        <f t="shared" si="3"/>
        <v>Standard</v>
      </c>
      <c r="Q206" t="str">
        <f>IF(Table1[[#This Row],[Discount]]&gt;=15%,"HIGH",IF(Table1[[#This Row],[Discount]]&gt;=55,"MEDIUM","NONE"))</f>
        <v>NONE</v>
      </c>
      <c r="R206">
        <f>Table1[[#This Row],[Ship Date]]-Table1[[#This Row],[Order Date]]</f>
        <v>0</v>
      </c>
    </row>
    <row r="207" spans="1:18" x14ac:dyDescent="0.25">
      <c r="A207" s="3" t="s">
        <v>533</v>
      </c>
      <c r="B207" s="2" t="s">
        <v>534</v>
      </c>
      <c r="C207" s="2" t="s">
        <v>535</v>
      </c>
      <c r="D207" s="1" t="s">
        <v>30</v>
      </c>
      <c r="E207" s="1" t="s">
        <v>78</v>
      </c>
      <c r="F207" s="1" t="s">
        <v>43</v>
      </c>
      <c r="G207" s="1" t="s">
        <v>97</v>
      </c>
      <c r="H207" s="1" t="s">
        <v>61</v>
      </c>
      <c r="I207" s="1" t="s">
        <v>88</v>
      </c>
      <c r="J207" s="1">
        <v>14</v>
      </c>
      <c r="K207" s="15">
        <v>33.979999999999997</v>
      </c>
      <c r="L207" s="13">
        <v>0.2</v>
      </c>
      <c r="M207" s="10">
        <v>19.34</v>
      </c>
      <c r="N207" s="12">
        <f>(Table1[[#This Row],[Quantity]]*Table1[[#This Row],[Unit Price]])*(1-Table1[[#This Row],[Discount]])</f>
        <v>380.57600000000002</v>
      </c>
      <c r="O207" s="12">
        <f>(Table1[[#This Row],[Unit Price]]-Table1[[#This Row],[Unit Cost]])*Table1[[#This Row],[Quantity]]</f>
        <v>204.95999999999995</v>
      </c>
      <c r="P207" s="17" t="str">
        <f t="shared" si="3"/>
        <v>Bulk</v>
      </c>
      <c r="Q207" t="str">
        <f>IF(Table1[[#This Row],[Discount]]&gt;=15%,"HIGH",IF(Table1[[#This Row],[Discount]]&gt;=55,"MEDIUM","NONE"))</f>
        <v>HIGH</v>
      </c>
      <c r="R207">
        <f>Table1[[#This Row],[Ship Date]]-Table1[[#This Row],[Order Date]]</f>
        <v>2</v>
      </c>
    </row>
    <row r="208" spans="1:18" x14ac:dyDescent="0.25">
      <c r="A208" s="3" t="s">
        <v>536</v>
      </c>
      <c r="B208" s="2" t="s">
        <v>417</v>
      </c>
      <c r="C208" s="2" t="s">
        <v>377</v>
      </c>
      <c r="D208" s="1" t="s">
        <v>16</v>
      </c>
      <c r="E208" s="1" t="s">
        <v>87</v>
      </c>
      <c r="F208" s="1" t="s">
        <v>38</v>
      </c>
      <c r="G208" s="1" t="s">
        <v>82</v>
      </c>
      <c r="H208" s="1" t="s">
        <v>61</v>
      </c>
      <c r="I208" s="1" t="s">
        <v>72</v>
      </c>
      <c r="J208" s="1">
        <v>5</v>
      </c>
      <c r="K208" s="15">
        <v>34.369999999999997</v>
      </c>
      <c r="L208" s="13">
        <v>0.05</v>
      </c>
      <c r="M208" s="10">
        <v>21.76</v>
      </c>
      <c r="N208" s="12">
        <f>(Table1[[#This Row],[Quantity]]*Table1[[#This Row],[Unit Price]])*(1-Table1[[#This Row],[Discount]])</f>
        <v>163.25749999999999</v>
      </c>
      <c r="O208" s="12">
        <f>(Table1[[#This Row],[Unit Price]]-Table1[[#This Row],[Unit Cost]])*Table1[[#This Row],[Quantity]]</f>
        <v>63.049999999999983</v>
      </c>
      <c r="P208" s="17" t="str">
        <f t="shared" si="3"/>
        <v>Bulk</v>
      </c>
      <c r="Q208" t="str">
        <f>IF(Table1[[#This Row],[Discount]]&gt;=15%,"HIGH",IF(Table1[[#This Row],[Discount]]&gt;=55,"MEDIUM","NONE"))</f>
        <v>NONE</v>
      </c>
      <c r="R208">
        <f>Table1[[#This Row],[Ship Date]]-Table1[[#This Row],[Order Date]]</f>
        <v>7</v>
      </c>
    </row>
    <row r="209" spans="1:18" x14ac:dyDescent="0.25">
      <c r="A209" s="3" t="s">
        <v>537</v>
      </c>
      <c r="B209" s="2" t="s">
        <v>538</v>
      </c>
      <c r="C209" s="2" t="s">
        <v>101</v>
      </c>
      <c r="D209" s="1" t="s">
        <v>30</v>
      </c>
      <c r="E209" s="1" t="s">
        <v>59</v>
      </c>
      <c r="F209" s="1" t="s">
        <v>38</v>
      </c>
      <c r="G209" s="1" t="s">
        <v>44</v>
      </c>
      <c r="H209" s="1" t="s">
        <v>33</v>
      </c>
      <c r="I209" s="1" t="s">
        <v>76</v>
      </c>
      <c r="J209" s="1">
        <v>20</v>
      </c>
      <c r="K209" s="15">
        <v>38</v>
      </c>
      <c r="L209" s="13">
        <v>0</v>
      </c>
      <c r="M209" s="10">
        <v>25.45</v>
      </c>
      <c r="N209" s="12">
        <f>(Table1[[#This Row],[Quantity]]*Table1[[#This Row],[Unit Price]])*(1-Table1[[#This Row],[Discount]])</f>
        <v>760</v>
      </c>
      <c r="O209" s="12">
        <f>(Table1[[#This Row],[Unit Price]]-Table1[[#This Row],[Unit Cost]])*Table1[[#This Row],[Quantity]]</f>
        <v>251</v>
      </c>
      <c r="P209" s="17" t="str">
        <f t="shared" si="3"/>
        <v>Standard</v>
      </c>
      <c r="Q209" t="str">
        <f>IF(Table1[[#This Row],[Discount]]&gt;=15%,"HIGH",IF(Table1[[#This Row],[Discount]]&gt;=55,"MEDIUM","NONE"))</f>
        <v>NONE</v>
      </c>
      <c r="R209">
        <f>Table1[[#This Row],[Ship Date]]-Table1[[#This Row],[Order Date]]</f>
        <v>3</v>
      </c>
    </row>
    <row r="210" spans="1:18" x14ac:dyDescent="0.25">
      <c r="A210" s="3" t="s">
        <v>539</v>
      </c>
      <c r="B210" s="2" t="s">
        <v>540</v>
      </c>
      <c r="C210" s="2" t="s">
        <v>541</v>
      </c>
      <c r="D210" s="1" t="s">
        <v>30</v>
      </c>
      <c r="E210" s="1" t="s">
        <v>17</v>
      </c>
      <c r="F210" s="1" t="s">
        <v>38</v>
      </c>
      <c r="G210" s="1" t="s">
        <v>32</v>
      </c>
      <c r="H210" s="1" t="s">
        <v>33</v>
      </c>
      <c r="I210" s="1" t="s">
        <v>76</v>
      </c>
      <c r="J210" s="1">
        <v>9</v>
      </c>
      <c r="K210" s="15">
        <v>33.03</v>
      </c>
      <c r="L210" s="13">
        <v>0.05</v>
      </c>
      <c r="M210" s="10">
        <v>21.18</v>
      </c>
      <c r="N210" s="12">
        <f>(Table1[[#This Row],[Quantity]]*Table1[[#This Row],[Unit Price]])*(1-Table1[[#This Row],[Discount]])</f>
        <v>282.40649999999999</v>
      </c>
      <c r="O210" s="12">
        <f>(Table1[[#This Row],[Unit Price]]-Table1[[#This Row],[Unit Cost]])*Table1[[#This Row],[Quantity]]</f>
        <v>106.65</v>
      </c>
      <c r="P210" s="17" t="str">
        <f t="shared" si="3"/>
        <v>Bulk</v>
      </c>
      <c r="Q210" t="str">
        <f>IF(Table1[[#This Row],[Discount]]&gt;=15%,"HIGH",IF(Table1[[#This Row],[Discount]]&gt;=55,"MEDIUM","NONE"))</f>
        <v>NONE</v>
      </c>
      <c r="R210">
        <f>Table1[[#This Row],[Ship Date]]-Table1[[#This Row],[Order Date]]</f>
        <v>2</v>
      </c>
    </row>
    <row r="211" spans="1:18" x14ac:dyDescent="0.25">
      <c r="A211" s="3" t="s">
        <v>542</v>
      </c>
      <c r="B211" s="2" t="s">
        <v>543</v>
      </c>
      <c r="C211" s="2" t="s">
        <v>544</v>
      </c>
      <c r="D211" s="1" t="s">
        <v>30</v>
      </c>
      <c r="E211" s="1" t="s">
        <v>87</v>
      </c>
      <c r="F211" s="1" t="s">
        <v>60</v>
      </c>
      <c r="G211" s="1" t="s">
        <v>82</v>
      </c>
      <c r="H211" s="1" t="s">
        <v>20</v>
      </c>
      <c r="I211" s="1" t="s">
        <v>151</v>
      </c>
      <c r="J211" s="1">
        <v>23</v>
      </c>
      <c r="K211" s="15">
        <v>129.53</v>
      </c>
      <c r="L211" s="13">
        <v>0.2</v>
      </c>
      <c r="M211" s="10">
        <v>97.01</v>
      </c>
      <c r="N211" s="12">
        <f>(Table1[[#This Row],[Quantity]]*Table1[[#This Row],[Unit Price]])*(1-Table1[[#This Row],[Discount]])</f>
        <v>2383.3520000000003</v>
      </c>
      <c r="O211" s="12">
        <f>(Table1[[#This Row],[Unit Price]]-Table1[[#This Row],[Unit Cost]])*Table1[[#This Row],[Quantity]]</f>
        <v>747.95999999999992</v>
      </c>
      <c r="P211" s="17" t="str">
        <f t="shared" si="3"/>
        <v>Standard</v>
      </c>
      <c r="Q211" t="str">
        <f>IF(Table1[[#This Row],[Discount]]&gt;=15%,"HIGH",IF(Table1[[#This Row],[Discount]]&gt;=55,"MEDIUM","NONE"))</f>
        <v>HIGH</v>
      </c>
      <c r="R211">
        <f>Table1[[#This Row],[Ship Date]]-Table1[[#This Row],[Order Date]]</f>
        <v>3</v>
      </c>
    </row>
    <row r="212" spans="1:18" x14ac:dyDescent="0.25">
      <c r="A212" s="3" t="s">
        <v>545</v>
      </c>
      <c r="B212" s="2" t="s">
        <v>546</v>
      </c>
      <c r="C212" s="2" t="s">
        <v>547</v>
      </c>
      <c r="D212" s="1" t="s">
        <v>30</v>
      </c>
      <c r="E212" s="1" t="s">
        <v>59</v>
      </c>
      <c r="F212" s="1" t="s">
        <v>18</v>
      </c>
      <c r="G212" s="1" t="s">
        <v>97</v>
      </c>
      <c r="H212" s="1" t="s">
        <v>33</v>
      </c>
      <c r="I212" s="1" t="s">
        <v>51</v>
      </c>
      <c r="J212" s="1">
        <v>3</v>
      </c>
      <c r="K212" s="15">
        <v>19.059999999999999</v>
      </c>
      <c r="L212" s="13">
        <v>0.1</v>
      </c>
      <c r="M212" s="10">
        <v>12.77</v>
      </c>
      <c r="N212" s="12">
        <f>(Table1[[#This Row],[Quantity]]*Table1[[#This Row],[Unit Price]])*(1-Table1[[#This Row],[Discount]])</f>
        <v>51.461999999999996</v>
      </c>
      <c r="O212" s="12">
        <f>(Table1[[#This Row],[Unit Price]]-Table1[[#This Row],[Unit Cost]])*Table1[[#This Row],[Quantity]]</f>
        <v>18.869999999999997</v>
      </c>
      <c r="P212" s="17" t="str">
        <f t="shared" si="3"/>
        <v>Bulk</v>
      </c>
      <c r="Q212" t="str">
        <f>IF(Table1[[#This Row],[Discount]]&gt;=15%,"HIGH",IF(Table1[[#This Row],[Discount]]&gt;=55,"MEDIUM","NONE"))</f>
        <v>NONE</v>
      </c>
      <c r="R212">
        <f>Table1[[#This Row],[Ship Date]]-Table1[[#This Row],[Order Date]]</f>
        <v>3</v>
      </c>
    </row>
    <row r="213" spans="1:18" x14ac:dyDescent="0.25">
      <c r="A213" s="3" t="s">
        <v>548</v>
      </c>
      <c r="B213" s="2" t="s">
        <v>549</v>
      </c>
      <c r="C213" s="2" t="s">
        <v>510</v>
      </c>
      <c r="D213" s="1" t="s">
        <v>16</v>
      </c>
      <c r="E213" s="1" t="s">
        <v>112</v>
      </c>
      <c r="F213" s="1" t="s">
        <v>38</v>
      </c>
      <c r="G213" s="1" t="s">
        <v>67</v>
      </c>
      <c r="H213" s="1" t="s">
        <v>20</v>
      </c>
      <c r="I213" s="1" t="s">
        <v>134</v>
      </c>
      <c r="J213" s="1">
        <v>25</v>
      </c>
      <c r="K213" s="15">
        <v>335.47</v>
      </c>
      <c r="L213" s="13">
        <v>0.15</v>
      </c>
      <c r="M213" s="10">
        <v>214.28</v>
      </c>
      <c r="N213" s="12">
        <f>(Table1[[#This Row],[Quantity]]*Table1[[#This Row],[Unit Price]])*(1-Table1[[#This Row],[Discount]])</f>
        <v>7128.7375000000002</v>
      </c>
      <c r="O213" s="12">
        <f>(Table1[[#This Row],[Unit Price]]-Table1[[#This Row],[Unit Cost]])*Table1[[#This Row],[Quantity]]</f>
        <v>3029.7500000000005</v>
      </c>
      <c r="P213" s="17" t="str">
        <f t="shared" si="3"/>
        <v>Standard</v>
      </c>
      <c r="Q213" t="str">
        <f>IF(Table1[[#This Row],[Discount]]&gt;=15%,"HIGH",IF(Table1[[#This Row],[Discount]]&gt;=55,"MEDIUM","NONE"))</f>
        <v>HIGH</v>
      </c>
      <c r="R213">
        <f>Table1[[#This Row],[Ship Date]]-Table1[[#This Row],[Order Date]]</f>
        <v>4</v>
      </c>
    </row>
    <row r="214" spans="1:18" x14ac:dyDescent="0.25">
      <c r="A214" s="3" t="s">
        <v>550</v>
      </c>
      <c r="B214" s="2" t="s">
        <v>551</v>
      </c>
      <c r="C214" s="2" t="s">
        <v>552</v>
      </c>
      <c r="D214" s="1" t="s">
        <v>16</v>
      </c>
      <c r="E214" s="1" t="s">
        <v>96</v>
      </c>
      <c r="F214" s="1" t="s">
        <v>43</v>
      </c>
      <c r="G214" s="1" t="s">
        <v>44</v>
      </c>
      <c r="H214" s="1" t="s">
        <v>61</v>
      </c>
      <c r="I214" s="1" t="s">
        <v>106</v>
      </c>
      <c r="J214" s="1">
        <v>17</v>
      </c>
      <c r="K214" s="15">
        <v>69.75</v>
      </c>
      <c r="L214" s="13">
        <v>0.1</v>
      </c>
      <c r="M214" s="10">
        <v>48.49</v>
      </c>
      <c r="N214" s="12">
        <f>(Table1[[#This Row],[Quantity]]*Table1[[#This Row],[Unit Price]])*(1-Table1[[#This Row],[Discount]])</f>
        <v>1067.175</v>
      </c>
      <c r="O214" s="12">
        <f>(Table1[[#This Row],[Unit Price]]-Table1[[#This Row],[Unit Cost]])*Table1[[#This Row],[Quantity]]</f>
        <v>361.41999999999996</v>
      </c>
      <c r="P214" s="17" t="str">
        <f t="shared" si="3"/>
        <v>Bulk</v>
      </c>
      <c r="Q214" t="str">
        <f>IF(Table1[[#This Row],[Discount]]&gt;=15%,"HIGH",IF(Table1[[#This Row],[Discount]]&gt;=55,"MEDIUM","NONE"))</f>
        <v>NONE</v>
      </c>
      <c r="R214">
        <f>Table1[[#This Row],[Ship Date]]-Table1[[#This Row],[Order Date]]</f>
        <v>5</v>
      </c>
    </row>
    <row r="215" spans="1:18" x14ac:dyDescent="0.25">
      <c r="A215" s="3" t="s">
        <v>553</v>
      </c>
      <c r="B215" s="2" t="s">
        <v>554</v>
      </c>
      <c r="C215" s="2" t="s">
        <v>366</v>
      </c>
      <c r="D215" s="1" t="s">
        <v>30</v>
      </c>
      <c r="E215" s="1" t="s">
        <v>71</v>
      </c>
      <c r="F215" s="1" t="s">
        <v>38</v>
      </c>
      <c r="G215" s="1" t="s">
        <v>50</v>
      </c>
      <c r="H215" s="1" t="s">
        <v>61</v>
      </c>
      <c r="I215" s="1" t="s">
        <v>62</v>
      </c>
      <c r="J215" s="1">
        <v>1</v>
      </c>
      <c r="K215" s="15">
        <v>48.62</v>
      </c>
      <c r="L215" s="13">
        <v>0</v>
      </c>
      <c r="M215" s="10">
        <v>31.8</v>
      </c>
      <c r="N215" s="12">
        <f>(Table1[[#This Row],[Quantity]]*Table1[[#This Row],[Unit Price]])*(1-Table1[[#This Row],[Discount]])</f>
        <v>48.62</v>
      </c>
      <c r="O215" s="12">
        <f>(Table1[[#This Row],[Unit Price]]-Table1[[#This Row],[Unit Cost]])*Table1[[#This Row],[Quantity]]</f>
        <v>16.819999999999997</v>
      </c>
      <c r="P215" s="17" t="str">
        <f t="shared" si="3"/>
        <v>Bulk</v>
      </c>
      <c r="Q215" t="str">
        <f>IF(Table1[[#This Row],[Discount]]&gt;=15%,"HIGH",IF(Table1[[#This Row],[Discount]]&gt;=55,"MEDIUM","NONE"))</f>
        <v>NONE</v>
      </c>
      <c r="R215">
        <f>Table1[[#This Row],[Ship Date]]-Table1[[#This Row],[Order Date]]</f>
        <v>2</v>
      </c>
    </row>
    <row r="216" spans="1:18" x14ac:dyDescent="0.25">
      <c r="A216" s="3" t="s">
        <v>555</v>
      </c>
      <c r="B216" s="2" t="s">
        <v>547</v>
      </c>
      <c r="C216" s="2" t="s">
        <v>547</v>
      </c>
      <c r="D216" s="1" t="s">
        <v>24</v>
      </c>
      <c r="E216" s="1" t="s">
        <v>75</v>
      </c>
      <c r="F216" s="1" t="s">
        <v>18</v>
      </c>
      <c r="G216" s="1" t="s">
        <v>19</v>
      </c>
      <c r="H216" s="1" t="s">
        <v>33</v>
      </c>
      <c r="I216" s="1" t="s">
        <v>39</v>
      </c>
      <c r="J216" s="1">
        <v>16</v>
      </c>
      <c r="K216" s="15">
        <v>15.24</v>
      </c>
      <c r="L216" s="13">
        <v>0</v>
      </c>
      <c r="M216" s="10">
        <v>10.050000000000001</v>
      </c>
      <c r="N216" s="12">
        <f>(Table1[[#This Row],[Quantity]]*Table1[[#This Row],[Unit Price]])*(1-Table1[[#This Row],[Discount]])</f>
        <v>243.84</v>
      </c>
      <c r="O216" s="12">
        <f>(Table1[[#This Row],[Unit Price]]-Table1[[#This Row],[Unit Cost]])*Table1[[#This Row],[Quantity]]</f>
        <v>83.039999999999992</v>
      </c>
      <c r="P216" s="17" t="str">
        <f t="shared" si="3"/>
        <v>Standard</v>
      </c>
      <c r="Q216" t="str">
        <f>IF(Table1[[#This Row],[Discount]]&gt;=15%,"HIGH",IF(Table1[[#This Row],[Discount]]&gt;=55,"MEDIUM","NONE"))</f>
        <v>NONE</v>
      </c>
      <c r="R216">
        <f>Table1[[#This Row],[Ship Date]]-Table1[[#This Row],[Order Date]]</f>
        <v>0</v>
      </c>
    </row>
    <row r="217" spans="1:18" x14ac:dyDescent="0.25">
      <c r="A217" s="3" t="s">
        <v>556</v>
      </c>
      <c r="B217" s="2" t="s">
        <v>557</v>
      </c>
      <c r="C217" s="2" t="s">
        <v>557</v>
      </c>
      <c r="D217" s="1" t="s">
        <v>24</v>
      </c>
      <c r="E217" s="1" t="s">
        <v>91</v>
      </c>
      <c r="F217" s="1" t="s">
        <v>43</v>
      </c>
      <c r="G217" s="1" t="s">
        <v>32</v>
      </c>
      <c r="H217" s="1" t="s">
        <v>33</v>
      </c>
      <c r="I217" s="1" t="s">
        <v>34</v>
      </c>
      <c r="J217" s="1">
        <v>4</v>
      </c>
      <c r="K217" s="15">
        <v>27.73</v>
      </c>
      <c r="L217" s="13">
        <v>0</v>
      </c>
      <c r="M217" s="10">
        <v>21.7</v>
      </c>
      <c r="N217" s="12">
        <f>(Table1[[#This Row],[Quantity]]*Table1[[#This Row],[Unit Price]])*(1-Table1[[#This Row],[Discount]])</f>
        <v>110.92</v>
      </c>
      <c r="O217" s="12">
        <f>(Table1[[#This Row],[Unit Price]]-Table1[[#This Row],[Unit Cost]])*Table1[[#This Row],[Quantity]]</f>
        <v>24.120000000000005</v>
      </c>
      <c r="P217" s="17" t="str">
        <f t="shared" si="3"/>
        <v>Bulk</v>
      </c>
      <c r="Q217" t="str">
        <f>IF(Table1[[#This Row],[Discount]]&gt;=15%,"HIGH",IF(Table1[[#This Row],[Discount]]&gt;=55,"MEDIUM","NONE"))</f>
        <v>NONE</v>
      </c>
      <c r="R217">
        <f>Table1[[#This Row],[Ship Date]]-Table1[[#This Row],[Order Date]]</f>
        <v>0</v>
      </c>
    </row>
    <row r="218" spans="1:18" x14ac:dyDescent="0.25">
      <c r="A218" s="3" t="s">
        <v>558</v>
      </c>
      <c r="B218" s="2" t="s">
        <v>247</v>
      </c>
      <c r="C218" s="2" t="s">
        <v>559</v>
      </c>
      <c r="D218" s="1" t="s">
        <v>16</v>
      </c>
      <c r="E218" s="1" t="s">
        <v>31</v>
      </c>
      <c r="F218" s="1" t="s">
        <v>38</v>
      </c>
      <c r="G218" s="1" t="s">
        <v>82</v>
      </c>
      <c r="H218" s="1" t="s">
        <v>45</v>
      </c>
      <c r="I218" s="1" t="s">
        <v>148</v>
      </c>
      <c r="J218" s="1">
        <v>13</v>
      </c>
      <c r="K218" s="15">
        <v>526.02</v>
      </c>
      <c r="L218" s="13">
        <v>0</v>
      </c>
      <c r="M218" s="10">
        <v>373.54</v>
      </c>
      <c r="N218" s="12">
        <f>(Table1[[#This Row],[Quantity]]*Table1[[#This Row],[Unit Price]])*(1-Table1[[#This Row],[Discount]])</f>
        <v>6838.26</v>
      </c>
      <c r="O218" s="12">
        <f>(Table1[[#This Row],[Unit Price]]-Table1[[#This Row],[Unit Cost]])*Table1[[#This Row],[Quantity]]</f>
        <v>1982.2399999999996</v>
      </c>
      <c r="P218" s="17" t="str">
        <f t="shared" si="3"/>
        <v>Standard</v>
      </c>
      <c r="Q218" t="str">
        <f>IF(Table1[[#This Row],[Discount]]&gt;=15%,"HIGH",IF(Table1[[#This Row],[Discount]]&gt;=55,"MEDIUM","NONE"))</f>
        <v>NONE</v>
      </c>
      <c r="R218">
        <f>Table1[[#This Row],[Ship Date]]-Table1[[#This Row],[Order Date]]</f>
        <v>7</v>
      </c>
    </row>
    <row r="219" spans="1:18" x14ac:dyDescent="0.25">
      <c r="A219" s="3" t="s">
        <v>560</v>
      </c>
      <c r="B219" s="2" t="s">
        <v>419</v>
      </c>
      <c r="C219" s="2" t="s">
        <v>561</v>
      </c>
      <c r="D219" s="1" t="s">
        <v>16</v>
      </c>
      <c r="E219" s="1" t="s">
        <v>31</v>
      </c>
      <c r="F219" s="1" t="s">
        <v>38</v>
      </c>
      <c r="G219" s="1" t="s">
        <v>97</v>
      </c>
      <c r="H219" s="1" t="s">
        <v>45</v>
      </c>
      <c r="I219" s="1" t="s">
        <v>143</v>
      </c>
      <c r="J219" s="1">
        <v>23</v>
      </c>
      <c r="K219" s="15">
        <v>218.95</v>
      </c>
      <c r="L219" s="13">
        <v>0</v>
      </c>
      <c r="M219" s="10">
        <v>161.6</v>
      </c>
      <c r="N219" s="12">
        <f>(Table1[[#This Row],[Quantity]]*Table1[[#This Row],[Unit Price]])*(1-Table1[[#This Row],[Discount]])</f>
        <v>5035.8499999999995</v>
      </c>
      <c r="O219" s="12">
        <f>(Table1[[#This Row],[Unit Price]]-Table1[[#This Row],[Unit Cost]])*Table1[[#This Row],[Quantity]]</f>
        <v>1319.05</v>
      </c>
      <c r="P219" s="17" t="str">
        <f t="shared" si="3"/>
        <v>Bulk</v>
      </c>
      <c r="Q219" t="str">
        <f>IF(Table1[[#This Row],[Discount]]&gt;=15%,"HIGH",IF(Table1[[#This Row],[Discount]]&gt;=55,"MEDIUM","NONE"))</f>
        <v>NONE</v>
      </c>
      <c r="R219">
        <f>Table1[[#This Row],[Ship Date]]-Table1[[#This Row],[Order Date]]</f>
        <v>4</v>
      </c>
    </row>
    <row r="220" spans="1:18" x14ac:dyDescent="0.25">
      <c r="A220" s="3" t="s">
        <v>562</v>
      </c>
      <c r="B220" s="2" t="s">
        <v>563</v>
      </c>
      <c r="C220" s="2" t="s">
        <v>509</v>
      </c>
      <c r="D220" s="1" t="s">
        <v>16</v>
      </c>
      <c r="E220" s="1" t="s">
        <v>87</v>
      </c>
      <c r="F220" s="1" t="s">
        <v>18</v>
      </c>
      <c r="G220" s="1" t="s">
        <v>82</v>
      </c>
      <c r="H220" s="1" t="s">
        <v>45</v>
      </c>
      <c r="I220" s="1" t="s">
        <v>148</v>
      </c>
      <c r="J220" s="1">
        <v>9</v>
      </c>
      <c r="K220" s="15">
        <v>556.32000000000005</v>
      </c>
      <c r="L220" s="13">
        <v>0.05</v>
      </c>
      <c r="M220" s="10">
        <v>379.37</v>
      </c>
      <c r="N220" s="12">
        <f>(Table1[[#This Row],[Quantity]]*Table1[[#This Row],[Unit Price]])*(1-Table1[[#This Row],[Discount]])</f>
        <v>4756.5360000000001</v>
      </c>
      <c r="O220" s="12">
        <f>(Table1[[#This Row],[Unit Price]]-Table1[[#This Row],[Unit Cost]])*Table1[[#This Row],[Quantity]]</f>
        <v>1592.5500000000004</v>
      </c>
      <c r="P220" s="17" t="str">
        <f t="shared" si="3"/>
        <v>Bulk</v>
      </c>
      <c r="Q220" t="str">
        <f>IF(Table1[[#This Row],[Discount]]&gt;=15%,"HIGH",IF(Table1[[#This Row],[Discount]]&gt;=55,"MEDIUM","NONE"))</f>
        <v>NONE</v>
      </c>
      <c r="R220">
        <f>Table1[[#This Row],[Ship Date]]-Table1[[#This Row],[Order Date]]</f>
        <v>6</v>
      </c>
    </row>
    <row r="221" spans="1:18" x14ac:dyDescent="0.25">
      <c r="A221" s="3" t="s">
        <v>564</v>
      </c>
      <c r="B221" s="2" t="s">
        <v>565</v>
      </c>
      <c r="C221" s="2" t="s">
        <v>566</v>
      </c>
      <c r="D221" s="1" t="s">
        <v>30</v>
      </c>
      <c r="E221" s="1" t="s">
        <v>206</v>
      </c>
      <c r="F221" s="1" t="s">
        <v>43</v>
      </c>
      <c r="G221" s="1" t="s">
        <v>32</v>
      </c>
      <c r="H221" s="1" t="s">
        <v>61</v>
      </c>
      <c r="I221" s="1" t="s">
        <v>72</v>
      </c>
      <c r="J221" s="1">
        <v>20</v>
      </c>
      <c r="K221" s="15">
        <v>23.8</v>
      </c>
      <c r="L221" s="13">
        <v>0.15</v>
      </c>
      <c r="M221" s="10">
        <v>17.29</v>
      </c>
      <c r="N221" s="12">
        <f>(Table1[[#This Row],[Quantity]]*Table1[[#This Row],[Unit Price]])*(1-Table1[[#This Row],[Discount]])</f>
        <v>404.59999999999997</v>
      </c>
      <c r="O221" s="12">
        <f>(Table1[[#This Row],[Unit Price]]-Table1[[#This Row],[Unit Cost]])*Table1[[#This Row],[Quantity]]</f>
        <v>130.20000000000005</v>
      </c>
      <c r="P221" s="17" t="str">
        <f t="shared" si="3"/>
        <v>Standard</v>
      </c>
      <c r="Q221" t="str">
        <f>IF(Table1[[#This Row],[Discount]]&gt;=15%,"HIGH",IF(Table1[[#This Row],[Discount]]&gt;=55,"MEDIUM","NONE"))</f>
        <v>HIGH</v>
      </c>
      <c r="R221">
        <f>Table1[[#This Row],[Ship Date]]-Table1[[#This Row],[Order Date]]</f>
        <v>2</v>
      </c>
    </row>
    <row r="222" spans="1:18" x14ac:dyDescent="0.25">
      <c r="A222" s="3" t="s">
        <v>567</v>
      </c>
      <c r="B222" s="2" t="s">
        <v>293</v>
      </c>
      <c r="C222" s="2" t="s">
        <v>568</v>
      </c>
      <c r="D222" s="1" t="s">
        <v>16</v>
      </c>
      <c r="E222" s="1" t="s">
        <v>17</v>
      </c>
      <c r="F222" s="1" t="s">
        <v>43</v>
      </c>
      <c r="G222" s="1" t="s">
        <v>44</v>
      </c>
      <c r="H222" s="1" t="s">
        <v>45</v>
      </c>
      <c r="I222" s="1" t="s">
        <v>148</v>
      </c>
      <c r="J222" s="1">
        <v>6</v>
      </c>
      <c r="K222" s="15">
        <v>336.25</v>
      </c>
      <c r="L222" s="13">
        <v>0</v>
      </c>
      <c r="M222" s="10">
        <v>227.88</v>
      </c>
      <c r="N222" s="12">
        <f>(Table1[[#This Row],[Quantity]]*Table1[[#This Row],[Unit Price]])*(1-Table1[[#This Row],[Discount]])</f>
        <v>2017.5</v>
      </c>
      <c r="O222" s="12">
        <f>(Table1[[#This Row],[Unit Price]]-Table1[[#This Row],[Unit Cost]])*Table1[[#This Row],[Quantity]]</f>
        <v>650.22</v>
      </c>
      <c r="P222" s="17" t="str">
        <f t="shared" si="3"/>
        <v>Bulk</v>
      </c>
      <c r="Q222" t="str">
        <f>IF(Table1[[#This Row],[Discount]]&gt;=15%,"HIGH",IF(Table1[[#This Row],[Discount]]&gt;=55,"MEDIUM","NONE"))</f>
        <v>NONE</v>
      </c>
      <c r="R222">
        <f>Table1[[#This Row],[Ship Date]]-Table1[[#This Row],[Order Date]]</f>
        <v>7</v>
      </c>
    </row>
    <row r="223" spans="1:18" x14ac:dyDescent="0.25">
      <c r="A223" s="3" t="s">
        <v>569</v>
      </c>
      <c r="B223" s="2" t="s">
        <v>570</v>
      </c>
      <c r="C223" s="2" t="s">
        <v>570</v>
      </c>
      <c r="D223" s="1" t="s">
        <v>24</v>
      </c>
      <c r="E223" s="1" t="s">
        <v>66</v>
      </c>
      <c r="F223" s="1" t="s">
        <v>25</v>
      </c>
      <c r="G223" s="1" t="s">
        <v>50</v>
      </c>
      <c r="H223" s="1" t="s">
        <v>61</v>
      </c>
      <c r="I223" s="1" t="s">
        <v>62</v>
      </c>
      <c r="J223" s="1">
        <v>6</v>
      </c>
      <c r="K223" s="15">
        <v>49.17</v>
      </c>
      <c r="L223" s="13">
        <v>0</v>
      </c>
      <c r="M223" s="10">
        <v>29.34</v>
      </c>
      <c r="N223" s="12">
        <f>(Table1[[#This Row],[Quantity]]*Table1[[#This Row],[Unit Price]])*(1-Table1[[#This Row],[Discount]])</f>
        <v>295.02</v>
      </c>
      <c r="O223" s="12">
        <f>(Table1[[#This Row],[Unit Price]]-Table1[[#This Row],[Unit Cost]])*Table1[[#This Row],[Quantity]]</f>
        <v>118.98000000000002</v>
      </c>
      <c r="P223" s="17" t="str">
        <f t="shared" si="3"/>
        <v>Standard</v>
      </c>
      <c r="Q223" t="str">
        <f>IF(Table1[[#This Row],[Discount]]&gt;=15%,"HIGH",IF(Table1[[#This Row],[Discount]]&gt;=55,"MEDIUM","NONE"))</f>
        <v>NONE</v>
      </c>
      <c r="R223">
        <f>Table1[[#This Row],[Ship Date]]-Table1[[#This Row],[Order Date]]</f>
        <v>0</v>
      </c>
    </row>
    <row r="224" spans="1:18" x14ac:dyDescent="0.25">
      <c r="A224" s="3" t="s">
        <v>571</v>
      </c>
      <c r="B224" s="2" t="s">
        <v>572</v>
      </c>
      <c r="C224" s="2" t="s">
        <v>572</v>
      </c>
      <c r="D224" s="1" t="s">
        <v>24</v>
      </c>
      <c r="E224" s="1" t="s">
        <v>87</v>
      </c>
      <c r="F224" s="1" t="s">
        <v>25</v>
      </c>
      <c r="G224" s="1" t="s">
        <v>97</v>
      </c>
      <c r="H224" s="1" t="s">
        <v>20</v>
      </c>
      <c r="I224" s="1" t="s">
        <v>139</v>
      </c>
      <c r="J224" s="1">
        <v>17</v>
      </c>
      <c r="K224" s="15">
        <v>801.03</v>
      </c>
      <c r="L224" s="13">
        <v>0.05</v>
      </c>
      <c r="M224" s="10">
        <v>577.67999999999995</v>
      </c>
      <c r="N224" s="12">
        <f>(Table1[[#This Row],[Quantity]]*Table1[[#This Row],[Unit Price]])*(1-Table1[[#This Row],[Discount]])</f>
        <v>12936.6345</v>
      </c>
      <c r="O224" s="12">
        <f>(Table1[[#This Row],[Unit Price]]-Table1[[#This Row],[Unit Cost]])*Table1[[#This Row],[Quantity]]</f>
        <v>3796.9500000000003</v>
      </c>
      <c r="P224" s="17" t="str">
        <f t="shared" si="3"/>
        <v>Standard</v>
      </c>
      <c r="Q224" t="str">
        <f>IF(Table1[[#This Row],[Discount]]&gt;=15%,"HIGH",IF(Table1[[#This Row],[Discount]]&gt;=55,"MEDIUM","NONE"))</f>
        <v>NONE</v>
      </c>
      <c r="R224">
        <f>Table1[[#This Row],[Ship Date]]-Table1[[#This Row],[Order Date]]</f>
        <v>0</v>
      </c>
    </row>
    <row r="225" spans="1:18" x14ac:dyDescent="0.25">
      <c r="A225" s="3" t="s">
        <v>573</v>
      </c>
      <c r="B225" s="2" t="s">
        <v>574</v>
      </c>
      <c r="C225" s="2" t="s">
        <v>575</v>
      </c>
      <c r="D225" s="1" t="s">
        <v>30</v>
      </c>
      <c r="E225" s="1" t="s">
        <v>91</v>
      </c>
      <c r="F225" s="1" t="s">
        <v>38</v>
      </c>
      <c r="G225" s="1" t="s">
        <v>19</v>
      </c>
      <c r="H225" s="1" t="s">
        <v>45</v>
      </c>
      <c r="I225" s="1" t="s">
        <v>46</v>
      </c>
      <c r="J225" s="1">
        <v>2</v>
      </c>
      <c r="K225" s="15">
        <v>263.39</v>
      </c>
      <c r="L225" s="13">
        <v>0.1</v>
      </c>
      <c r="M225" s="10">
        <v>163.87</v>
      </c>
      <c r="N225" s="12">
        <f>(Table1[[#This Row],[Quantity]]*Table1[[#This Row],[Unit Price]])*(1-Table1[[#This Row],[Discount]])</f>
        <v>474.10199999999998</v>
      </c>
      <c r="O225" s="12">
        <f>(Table1[[#This Row],[Unit Price]]-Table1[[#This Row],[Unit Cost]])*Table1[[#This Row],[Quantity]]</f>
        <v>199.03999999999996</v>
      </c>
      <c r="P225" s="17" t="str">
        <f t="shared" si="3"/>
        <v>Bulk</v>
      </c>
      <c r="Q225" t="str">
        <f>IF(Table1[[#This Row],[Discount]]&gt;=15%,"HIGH",IF(Table1[[#This Row],[Discount]]&gt;=55,"MEDIUM","NONE"))</f>
        <v>NONE</v>
      </c>
      <c r="R225">
        <f>Table1[[#This Row],[Ship Date]]-Table1[[#This Row],[Order Date]]</f>
        <v>3</v>
      </c>
    </row>
    <row r="226" spans="1:18" x14ac:dyDescent="0.25">
      <c r="A226" s="3" t="s">
        <v>576</v>
      </c>
      <c r="B226" s="2" t="s">
        <v>244</v>
      </c>
      <c r="C226" s="2" t="s">
        <v>244</v>
      </c>
      <c r="D226" s="1" t="s">
        <v>24</v>
      </c>
      <c r="E226" s="1" t="s">
        <v>37</v>
      </c>
      <c r="F226" s="1" t="s">
        <v>43</v>
      </c>
      <c r="G226" s="1" t="s">
        <v>32</v>
      </c>
      <c r="H226" s="1" t="s">
        <v>20</v>
      </c>
      <c r="I226" s="1" t="s">
        <v>192</v>
      </c>
      <c r="J226" s="1">
        <v>25</v>
      </c>
      <c r="K226" s="15">
        <v>97.85</v>
      </c>
      <c r="L226" s="13">
        <v>0.15</v>
      </c>
      <c r="M226" s="10">
        <v>64.61</v>
      </c>
      <c r="N226" s="12">
        <f>(Table1[[#This Row],[Quantity]]*Table1[[#This Row],[Unit Price]])*(1-Table1[[#This Row],[Discount]])</f>
        <v>2079.3125</v>
      </c>
      <c r="O226" s="12">
        <f>(Table1[[#This Row],[Unit Price]]-Table1[[#This Row],[Unit Cost]])*Table1[[#This Row],[Quantity]]</f>
        <v>830.99999999999989</v>
      </c>
      <c r="P226" s="17" t="str">
        <f t="shared" si="3"/>
        <v>Standard</v>
      </c>
      <c r="Q226" t="str">
        <f>IF(Table1[[#This Row],[Discount]]&gt;=15%,"HIGH",IF(Table1[[#This Row],[Discount]]&gt;=55,"MEDIUM","NONE"))</f>
        <v>HIGH</v>
      </c>
      <c r="R226">
        <f>Table1[[#This Row],[Ship Date]]-Table1[[#This Row],[Order Date]]</f>
        <v>0</v>
      </c>
    </row>
    <row r="227" spans="1:18" x14ac:dyDescent="0.25">
      <c r="A227" s="3" t="s">
        <v>577</v>
      </c>
      <c r="B227" s="2" t="s">
        <v>578</v>
      </c>
      <c r="C227" s="2" t="s">
        <v>579</v>
      </c>
      <c r="D227" s="1" t="s">
        <v>30</v>
      </c>
      <c r="E227" s="1" t="s">
        <v>75</v>
      </c>
      <c r="F227" s="1" t="s">
        <v>43</v>
      </c>
      <c r="G227" s="1" t="s">
        <v>44</v>
      </c>
      <c r="H227" s="1" t="s">
        <v>45</v>
      </c>
      <c r="I227" s="1" t="s">
        <v>148</v>
      </c>
      <c r="J227" s="1">
        <v>3</v>
      </c>
      <c r="K227" s="15">
        <v>384.91</v>
      </c>
      <c r="L227" s="13">
        <v>0</v>
      </c>
      <c r="M227" s="10">
        <v>286.33999999999997</v>
      </c>
      <c r="N227" s="12">
        <f>(Table1[[#This Row],[Quantity]]*Table1[[#This Row],[Unit Price]])*(1-Table1[[#This Row],[Discount]])</f>
        <v>1154.73</v>
      </c>
      <c r="O227" s="12">
        <f>(Table1[[#This Row],[Unit Price]]-Table1[[#This Row],[Unit Cost]])*Table1[[#This Row],[Quantity]]</f>
        <v>295.71000000000015</v>
      </c>
      <c r="P227" s="17" t="str">
        <f t="shared" si="3"/>
        <v>Bulk</v>
      </c>
      <c r="Q227" t="str">
        <f>IF(Table1[[#This Row],[Discount]]&gt;=15%,"HIGH",IF(Table1[[#This Row],[Discount]]&gt;=55,"MEDIUM","NONE"))</f>
        <v>NONE</v>
      </c>
      <c r="R227">
        <f>Table1[[#This Row],[Ship Date]]-Table1[[#This Row],[Order Date]]</f>
        <v>2</v>
      </c>
    </row>
    <row r="228" spans="1:18" x14ac:dyDescent="0.25">
      <c r="A228" s="3" t="s">
        <v>580</v>
      </c>
      <c r="B228" s="2" t="s">
        <v>581</v>
      </c>
      <c r="C228" s="2" t="s">
        <v>498</v>
      </c>
      <c r="D228" s="1" t="s">
        <v>16</v>
      </c>
      <c r="E228" s="1" t="s">
        <v>78</v>
      </c>
      <c r="F228" s="1" t="s">
        <v>60</v>
      </c>
      <c r="G228" s="1" t="s">
        <v>50</v>
      </c>
      <c r="H228" s="1" t="s">
        <v>33</v>
      </c>
      <c r="I228" s="1" t="s">
        <v>153</v>
      </c>
      <c r="J228" s="1">
        <v>7</v>
      </c>
      <c r="K228" s="15">
        <v>32.61</v>
      </c>
      <c r="L228" s="13">
        <v>0.1</v>
      </c>
      <c r="M228" s="10">
        <v>20.8</v>
      </c>
      <c r="N228" s="12">
        <f>(Table1[[#This Row],[Quantity]]*Table1[[#This Row],[Unit Price]])*(1-Table1[[#This Row],[Discount]])</f>
        <v>205.44299999999998</v>
      </c>
      <c r="O228" s="12">
        <f>(Table1[[#This Row],[Unit Price]]-Table1[[#This Row],[Unit Cost]])*Table1[[#This Row],[Quantity]]</f>
        <v>82.669999999999987</v>
      </c>
      <c r="P228" s="17" t="str">
        <f t="shared" si="3"/>
        <v>Standard</v>
      </c>
      <c r="Q228" t="str">
        <f>IF(Table1[[#This Row],[Discount]]&gt;=15%,"HIGH",IF(Table1[[#This Row],[Discount]]&gt;=55,"MEDIUM","NONE"))</f>
        <v>NONE</v>
      </c>
      <c r="R228">
        <f>Table1[[#This Row],[Ship Date]]-Table1[[#This Row],[Order Date]]</f>
        <v>6</v>
      </c>
    </row>
    <row r="229" spans="1:18" x14ac:dyDescent="0.25">
      <c r="A229" s="3" t="s">
        <v>582</v>
      </c>
      <c r="B229" s="2" t="s">
        <v>583</v>
      </c>
      <c r="C229" s="2" t="s">
        <v>584</v>
      </c>
      <c r="D229" s="1" t="s">
        <v>16</v>
      </c>
      <c r="E229" s="1" t="s">
        <v>37</v>
      </c>
      <c r="F229" s="1" t="s">
        <v>38</v>
      </c>
      <c r="G229" s="1" t="s">
        <v>67</v>
      </c>
      <c r="H229" s="1" t="s">
        <v>33</v>
      </c>
      <c r="I229" s="1" t="s">
        <v>39</v>
      </c>
      <c r="J229" s="1">
        <v>25</v>
      </c>
      <c r="K229" s="15">
        <v>31.86</v>
      </c>
      <c r="L229" s="13">
        <v>0</v>
      </c>
      <c r="M229" s="10">
        <v>25.43</v>
      </c>
      <c r="N229" s="12">
        <f>(Table1[[#This Row],[Quantity]]*Table1[[#This Row],[Unit Price]])*(1-Table1[[#This Row],[Discount]])</f>
        <v>796.5</v>
      </c>
      <c r="O229" s="12">
        <f>(Table1[[#This Row],[Unit Price]]-Table1[[#This Row],[Unit Cost]])*Table1[[#This Row],[Quantity]]</f>
        <v>160.75</v>
      </c>
      <c r="P229" s="17" t="str">
        <f t="shared" si="3"/>
        <v>Standard</v>
      </c>
      <c r="Q229" t="str">
        <f>IF(Table1[[#This Row],[Discount]]&gt;=15%,"HIGH",IF(Table1[[#This Row],[Discount]]&gt;=55,"MEDIUM","NONE"))</f>
        <v>NONE</v>
      </c>
      <c r="R229">
        <f>Table1[[#This Row],[Ship Date]]-Table1[[#This Row],[Order Date]]</f>
        <v>5</v>
      </c>
    </row>
    <row r="230" spans="1:18" x14ac:dyDescent="0.25">
      <c r="A230" s="3" t="s">
        <v>585</v>
      </c>
      <c r="B230" s="2" t="s">
        <v>586</v>
      </c>
      <c r="C230" s="2" t="s">
        <v>128</v>
      </c>
      <c r="D230" s="1" t="s">
        <v>16</v>
      </c>
      <c r="E230" s="1" t="s">
        <v>55</v>
      </c>
      <c r="F230" s="1" t="s">
        <v>25</v>
      </c>
      <c r="G230" s="1" t="s">
        <v>82</v>
      </c>
      <c r="H230" s="1" t="s">
        <v>45</v>
      </c>
      <c r="I230" s="1" t="s">
        <v>148</v>
      </c>
      <c r="J230" s="1">
        <v>19</v>
      </c>
      <c r="K230" s="15">
        <v>527.98</v>
      </c>
      <c r="L230" s="13">
        <v>0.15</v>
      </c>
      <c r="M230" s="10">
        <v>345.06</v>
      </c>
      <c r="N230" s="12">
        <f>(Table1[[#This Row],[Quantity]]*Table1[[#This Row],[Unit Price]])*(1-Table1[[#This Row],[Discount]])</f>
        <v>8526.8770000000004</v>
      </c>
      <c r="O230" s="12">
        <f>(Table1[[#This Row],[Unit Price]]-Table1[[#This Row],[Unit Cost]])*Table1[[#This Row],[Quantity]]</f>
        <v>3475.4800000000005</v>
      </c>
      <c r="P230" s="17" t="str">
        <f t="shared" si="3"/>
        <v>Bulk</v>
      </c>
      <c r="Q230" t="str">
        <f>IF(Table1[[#This Row],[Discount]]&gt;=15%,"HIGH",IF(Table1[[#This Row],[Discount]]&gt;=55,"MEDIUM","NONE"))</f>
        <v>HIGH</v>
      </c>
      <c r="R230">
        <f>Table1[[#This Row],[Ship Date]]-Table1[[#This Row],[Order Date]]</f>
        <v>7</v>
      </c>
    </row>
    <row r="231" spans="1:18" x14ac:dyDescent="0.25">
      <c r="A231" s="3" t="s">
        <v>587</v>
      </c>
      <c r="B231" s="2" t="s">
        <v>588</v>
      </c>
      <c r="C231" s="2" t="s">
        <v>589</v>
      </c>
      <c r="D231" s="1" t="s">
        <v>30</v>
      </c>
      <c r="E231" s="1" t="s">
        <v>37</v>
      </c>
      <c r="F231" s="1" t="s">
        <v>38</v>
      </c>
      <c r="G231" s="1" t="s">
        <v>32</v>
      </c>
      <c r="H231" s="1" t="s">
        <v>20</v>
      </c>
      <c r="I231" s="1" t="s">
        <v>139</v>
      </c>
      <c r="J231" s="1">
        <v>16</v>
      </c>
      <c r="K231" s="15">
        <v>426.38</v>
      </c>
      <c r="L231" s="13">
        <v>0</v>
      </c>
      <c r="M231" s="10">
        <v>327.13</v>
      </c>
      <c r="N231" s="12">
        <f>(Table1[[#This Row],[Quantity]]*Table1[[#This Row],[Unit Price]])*(1-Table1[[#This Row],[Discount]])</f>
        <v>6822.08</v>
      </c>
      <c r="O231" s="12">
        <f>(Table1[[#This Row],[Unit Price]]-Table1[[#This Row],[Unit Cost]])*Table1[[#This Row],[Quantity]]</f>
        <v>1588</v>
      </c>
      <c r="P231" s="17" t="str">
        <f t="shared" si="3"/>
        <v>Bulk</v>
      </c>
      <c r="Q231" t="str">
        <f>IF(Table1[[#This Row],[Discount]]&gt;=15%,"HIGH",IF(Table1[[#This Row],[Discount]]&gt;=55,"MEDIUM","NONE"))</f>
        <v>NONE</v>
      </c>
      <c r="R231">
        <f>Table1[[#This Row],[Ship Date]]-Table1[[#This Row],[Order Date]]</f>
        <v>3</v>
      </c>
    </row>
    <row r="232" spans="1:18" x14ac:dyDescent="0.25">
      <c r="A232" s="3" t="s">
        <v>590</v>
      </c>
      <c r="B232" s="2" t="s">
        <v>591</v>
      </c>
      <c r="C232" s="2" t="s">
        <v>592</v>
      </c>
      <c r="D232" s="1" t="s">
        <v>30</v>
      </c>
      <c r="E232" s="1" t="s">
        <v>55</v>
      </c>
      <c r="F232" s="1" t="s">
        <v>38</v>
      </c>
      <c r="G232" s="1" t="s">
        <v>19</v>
      </c>
      <c r="H232" s="1" t="s">
        <v>33</v>
      </c>
      <c r="I232" s="1" t="s">
        <v>34</v>
      </c>
      <c r="J232" s="1">
        <v>7</v>
      </c>
      <c r="K232" s="15">
        <v>20.8</v>
      </c>
      <c r="L232" s="13">
        <v>0</v>
      </c>
      <c r="M232" s="10">
        <v>15.75</v>
      </c>
      <c r="N232" s="12">
        <f>(Table1[[#This Row],[Quantity]]*Table1[[#This Row],[Unit Price]])*(1-Table1[[#This Row],[Discount]])</f>
        <v>145.6</v>
      </c>
      <c r="O232" s="12">
        <f>(Table1[[#This Row],[Unit Price]]-Table1[[#This Row],[Unit Cost]])*Table1[[#This Row],[Quantity]]</f>
        <v>35.350000000000009</v>
      </c>
      <c r="P232" s="17" t="str">
        <f t="shared" si="3"/>
        <v>Bulk</v>
      </c>
      <c r="Q232" t="str">
        <f>IF(Table1[[#This Row],[Discount]]&gt;=15%,"HIGH",IF(Table1[[#This Row],[Discount]]&gt;=55,"MEDIUM","NONE"))</f>
        <v>NONE</v>
      </c>
      <c r="R232">
        <f>Table1[[#This Row],[Ship Date]]-Table1[[#This Row],[Order Date]]</f>
        <v>2</v>
      </c>
    </row>
    <row r="233" spans="1:18" x14ac:dyDescent="0.25">
      <c r="A233" s="3" t="s">
        <v>593</v>
      </c>
      <c r="B233" s="2" t="s">
        <v>520</v>
      </c>
      <c r="C233" s="2" t="s">
        <v>520</v>
      </c>
      <c r="D233" s="1" t="s">
        <v>24</v>
      </c>
      <c r="E233" s="1" t="s">
        <v>133</v>
      </c>
      <c r="F233" s="1" t="s">
        <v>43</v>
      </c>
      <c r="G233" s="1" t="s">
        <v>67</v>
      </c>
      <c r="H233" s="1" t="s">
        <v>61</v>
      </c>
      <c r="I233" s="1" t="s">
        <v>169</v>
      </c>
      <c r="J233" s="1">
        <v>15</v>
      </c>
      <c r="K233" s="15">
        <v>11.3</v>
      </c>
      <c r="L233" s="13">
        <v>0.2</v>
      </c>
      <c r="M233" s="10">
        <v>6.66</v>
      </c>
      <c r="N233" s="12">
        <f>(Table1[[#This Row],[Quantity]]*Table1[[#This Row],[Unit Price]])*(1-Table1[[#This Row],[Discount]])</f>
        <v>135.6</v>
      </c>
      <c r="O233" s="12">
        <f>(Table1[[#This Row],[Unit Price]]-Table1[[#This Row],[Unit Cost]])*Table1[[#This Row],[Quantity]]</f>
        <v>69.600000000000009</v>
      </c>
      <c r="P233" s="17" t="str">
        <f t="shared" si="3"/>
        <v>Standard</v>
      </c>
      <c r="Q233" t="str">
        <f>IF(Table1[[#This Row],[Discount]]&gt;=15%,"HIGH",IF(Table1[[#This Row],[Discount]]&gt;=55,"MEDIUM","NONE"))</f>
        <v>HIGH</v>
      </c>
      <c r="R233">
        <f>Table1[[#This Row],[Ship Date]]-Table1[[#This Row],[Order Date]]</f>
        <v>0</v>
      </c>
    </row>
    <row r="234" spans="1:18" x14ac:dyDescent="0.25">
      <c r="A234" s="3" t="s">
        <v>594</v>
      </c>
      <c r="B234" s="2" t="s">
        <v>595</v>
      </c>
      <c r="C234" s="2" t="s">
        <v>596</v>
      </c>
      <c r="D234" s="1" t="s">
        <v>16</v>
      </c>
      <c r="E234" s="1" t="s">
        <v>78</v>
      </c>
      <c r="F234" s="1" t="s">
        <v>18</v>
      </c>
      <c r="G234" s="1" t="s">
        <v>44</v>
      </c>
      <c r="H234" s="1" t="s">
        <v>45</v>
      </c>
      <c r="I234" s="1" t="s">
        <v>68</v>
      </c>
      <c r="J234" s="1">
        <v>21</v>
      </c>
      <c r="K234" s="15">
        <v>326.72000000000003</v>
      </c>
      <c r="L234" s="13">
        <v>0</v>
      </c>
      <c r="M234" s="10">
        <v>210.07</v>
      </c>
      <c r="N234" s="12">
        <f>(Table1[[#This Row],[Quantity]]*Table1[[#This Row],[Unit Price]])*(1-Table1[[#This Row],[Discount]])</f>
        <v>6861.1200000000008</v>
      </c>
      <c r="O234" s="12">
        <f>(Table1[[#This Row],[Unit Price]]-Table1[[#This Row],[Unit Cost]])*Table1[[#This Row],[Quantity]]</f>
        <v>2449.6500000000005</v>
      </c>
      <c r="P234" s="17" t="str">
        <f t="shared" si="3"/>
        <v>Bulk</v>
      </c>
      <c r="Q234" t="str">
        <f>IF(Table1[[#This Row],[Discount]]&gt;=15%,"HIGH",IF(Table1[[#This Row],[Discount]]&gt;=55,"MEDIUM","NONE"))</f>
        <v>NONE</v>
      </c>
      <c r="R234">
        <f>Table1[[#This Row],[Ship Date]]-Table1[[#This Row],[Order Date]]</f>
        <v>5</v>
      </c>
    </row>
    <row r="235" spans="1:18" x14ac:dyDescent="0.25">
      <c r="A235" s="3" t="s">
        <v>597</v>
      </c>
      <c r="B235" s="2" t="s">
        <v>598</v>
      </c>
      <c r="C235" s="2" t="s">
        <v>99</v>
      </c>
      <c r="D235" s="1" t="s">
        <v>16</v>
      </c>
      <c r="E235" s="1" t="s">
        <v>49</v>
      </c>
      <c r="F235" s="1" t="s">
        <v>60</v>
      </c>
      <c r="G235" s="1" t="s">
        <v>67</v>
      </c>
      <c r="H235" s="1" t="s">
        <v>33</v>
      </c>
      <c r="I235" s="1" t="s">
        <v>51</v>
      </c>
      <c r="J235" s="1">
        <v>7</v>
      </c>
      <c r="K235" s="15">
        <v>20.12</v>
      </c>
      <c r="L235" s="13">
        <v>0</v>
      </c>
      <c r="M235" s="10">
        <v>14.05</v>
      </c>
      <c r="N235" s="12">
        <f>(Table1[[#This Row],[Quantity]]*Table1[[#This Row],[Unit Price]])*(1-Table1[[#This Row],[Discount]])</f>
        <v>140.84</v>
      </c>
      <c r="O235" s="12">
        <f>(Table1[[#This Row],[Unit Price]]-Table1[[#This Row],[Unit Cost]])*Table1[[#This Row],[Quantity]]</f>
        <v>42.49</v>
      </c>
      <c r="P235" s="17" t="str">
        <f t="shared" si="3"/>
        <v>Bulk</v>
      </c>
      <c r="Q235" t="str">
        <f>IF(Table1[[#This Row],[Discount]]&gt;=15%,"HIGH",IF(Table1[[#This Row],[Discount]]&gt;=55,"MEDIUM","NONE"))</f>
        <v>NONE</v>
      </c>
      <c r="R235">
        <f>Table1[[#This Row],[Ship Date]]-Table1[[#This Row],[Order Date]]</f>
        <v>7</v>
      </c>
    </row>
    <row r="236" spans="1:18" x14ac:dyDescent="0.25">
      <c r="A236" s="3" t="s">
        <v>599</v>
      </c>
      <c r="B236" s="2" t="s">
        <v>600</v>
      </c>
      <c r="C236" s="2" t="s">
        <v>601</v>
      </c>
      <c r="D236" s="1" t="s">
        <v>16</v>
      </c>
      <c r="E236" s="1" t="s">
        <v>59</v>
      </c>
      <c r="F236" s="1" t="s">
        <v>60</v>
      </c>
      <c r="G236" s="1" t="s">
        <v>82</v>
      </c>
      <c r="H236" s="1" t="s">
        <v>33</v>
      </c>
      <c r="I236" s="1" t="s">
        <v>34</v>
      </c>
      <c r="J236" s="1">
        <v>8</v>
      </c>
      <c r="K236" s="15">
        <v>16.559999999999999</v>
      </c>
      <c r="L236" s="13">
        <v>0.15</v>
      </c>
      <c r="M236" s="10">
        <v>12.44</v>
      </c>
      <c r="N236" s="12">
        <f>(Table1[[#This Row],[Quantity]]*Table1[[#This Row],[Unit Price]])*(1-Table1[[#This Row],[Discount]])</f>
        <v>112.60799999999999</v>
      </c>
      <c r="O236" s="12">
        <f>(Table1[[#This Row],[Unit Price]]-Table1[[#This Row],[Unit Cost]])*Table1[[#This Row],[Quantity]]</f>
        <v>32.959999999999994</v>
      </c>
      <c r="P236" s="17" t="str">
        <f t="shared" si="3"/>
        <v>Standard</v>
      </c>
      <c r="Q236" t="str">
        <f>IF(Table1[[#This Row],[Discount]]&gt;=15%,"HIGH",IF(Table1[[#This Row],[Discount]]&gt;=55,"MEDIUM","NONE"))</f>
        <v>HIGH</v>
      </c>
      <c r="R236">
        <f>Table1[[#This Row],[Ship Date]]-Table1[[#This Row],[Order Date]]</f>
        <v>4</v>
      </c>
    </row>
    <row r="237" spans="1:18" x14ac:dyDescent="0.25">
      <c r="A237" s="3" t="s">
        <v>602</v>
      </c>
      <c r="B237" s="2" t="s">
        <v>364</v>
      </c>
      <c r="C237" s="2" t="s">
        <v>554</v>
      </c>
      <c r="D237" s="1" t="s">
        <v>16</v>
      </c>
      <c r="E237" s="1" t="s">
        <v>59</v>
      </c>
      <c r="F237" s="1" t="s">
        <v>60</v>
      </c>
      <c r="G237" s="1" t="s">
        <v>50</v>
      </c>
      <c r="H237" s="1" t="s">
        <v>33</v>
      </c>
      <c r="I237" s="1" t="s">
        <v>51</v>
      </c>
      <c r="J237" s="1">
        <v>17</v>
      </c>
      <c r="K237" s="15">
        <v>23.41</v>
      </c>
      <c r="L237" s="13">
        <v>0.1</v>
      </c>
      <c r="M237" s="10">
        <v>16.68</v>
      </c>
      <c r="N237" s="12">
        <f>(Table1[[#This Row],[Quantity]]*Table1[[#This Row],[Unit Price]])*(1-Table1[[#This Row],[Discount]])</f>
        <v>358.17300000000006</v>
      </c>
      <c r="O237" s="12">
        <f>(Table1[[#This Row],[Unit Price]]-Table1[[#This Row],[Unit Cost]])*Table1[[#This Row],[Quantity]]</f>
        <v>114.41000000000001</v>
      </c>
      <c r="P237" s="17" t="str">
        <f t="shared" si="3"/>
        <v>Standard</v>
      </c>
      <c r="Q237" t="str">
        <f>IF(Table1[[#This Row],[Discount]]&gt;=15%,"HIGH",IF(Table1[[#This Row],[Discount]]&gt;=55,"MEDIUM","NONE"))</f>
        <v>NONE</v>
      </c>
      <c r="R237">
        <f>Table1[[#This Row],[Ship Date]]-Table1[[#This Row],[Order Date]]</f>
        <v>7</v>
      </c>
    </row>
    <row r="238" spans="1:18" x14ac:dyDescent="0.25">
      <c r="A238" s="3" t="s">
        <v>603</v>
      </c>
      <c r="B238" s="2" t="s">
        <v>604</v>
      </c>
      <c r="C238" s="2" t="s">
        <v>605</v>
      </c>
      <c r="D238" s="1" t="s">
        <v>16</v>
      </c>
      <c r="E238" s="1" t="s">
        <v>75</v>
      </c>
      <c r="F238" s="1" t="s">
        <v>38</v>
      </c>
      <c r="G238" s="1" t="s">
        <v>19</v>
      </c>
      <c r="H238" s="1" t="s">
        <v>45</v>
      </c>
      <c r="I238" s="1" t="s">
        <v>143</v>
      </c>
      <c r="J238" s="1">
        <v>4</v>
      </c>
      <c r="K238" s="15">
        <v>163.61000000000001</v>
      </c>
      <c r="L238" s="13">
        <v>0</v>
      </c>
      <c r="M238" s="10">
        <v>114.1</v>
      </c>
      <c r="N238" s="12">
        <f>(Table1[[#This Row],[Quantity]]*Table1[[#This Row],[Unit Price]])*(1-Table1[[#This Row],[Discount]])</f>
        <v>654.44000000000005</v>
      </c>
      <c r="O238" s="12">
        <f>(Table1[[#This Row],[Unit Price]]-Table1[[#This Row],[Unit Cost]])*Table1[[#This Row],[Quantity]]</f>
        <v>198.04000000000008</v>
      </c>
      <c r="P238" s="17" t="str">
        <f t="shared" si="3"/>
        <v>Bulk</v>
      </c>
      <c r="Q238" t="str">
        <f>IF(Table1[[#This Row],[Discount]]&gt;=15%,"HIGH",IF(Table1[[#This Row],[Discount]]&gt;=55,"MEDIUM","NONE"))</f>
        <v>NONE</v>
      </c>
      <c r="R238">
        <f>Table1[[#This Row],[Ship Date]]-Table1[[#This Row],[Order Date]]</f>
        <v>7</v>
      </c>
    </row>
    <row r="239" spans="1:18" x14ac:dyDescent="0.25">
      <c r="A239" s="3" t="s">
        <v>606</v>
      </c>
      <c r="B239" s="2" t="s">
        <v>607</v>
      </c>
      <c r="C239" s="2" t="s">
        <v>596</v>
      </c>
      <c r="D239" s="1" t="s">
        <v>16</v>
      </c>
      <c r="E239" s="1" t="s">
        <v>37</v>
      </c>
      <c r="F239" s="1" t="s">
        <v>25</v>
      </c>
      <c r="G239" s="1" t="s">
        <v>67</v>
      </c>
      <c r="H239" s="1" t="s">
        <v>33</v>
      </c>
      <c r="I239" s="1" t="s">
        <v>51</v>
      </c>
      <c r="J239" s="1">
        <v>18</v>
      </c>
      <c r="K239" s="15">
        <v>24.84</v>
      </c>
      <c r="L239" s="13">
        <v>0.15</v>
      </c>
      <c r="M239" s="10">
        <v>17.440000000000001</v>
      </c>
      <c r="N239" s="12">
        <f>(Table1[[#This Row],[Quantity]]*Table1[[#This Row],[Unit Price]])*(1-Table1[[#This Row],[Discount]])</f>
        <v>380.05200000000002</v>
      </c>
      <c r="O239" s="12">
        <f>(Table1[[#This Row],[Unit Price]]-Table1[[#This Row],[Unit Cost]])*Table1[[#This Row],[Quantity]]</f>
        <v>133.19999999999999</v>
      </c>
      <c r="P239" s="17" t="str">
        <f t="shared" si="3"/>
        <v>Standard</v>
      </c>
      <c r="Q239" t="str">
        <f>IF(Table1[[#This Row],[Discount]]&gt;=15%,"HIGH",IF(Table1[[#This Row],[Discount]]&gt;=55,"MEDIUM","NONE"))</f>
        <v>HIGH</v>
      </c>
      <c r="R239">
        <f>Table1[[#This Row],[Ship Date]]-Table1[[#This Row],[Order Date]]</f>
        <v>4</v>
      </c>
    </row>
    <row r="240" spans="1:18" x14ac:dyDescent="0.25">
      <c r="A240" s="3" t="s">
        <v>608</v>
      </c>
      <c r="B240" s="2" t="s">
        <v>609</v>
      </c>
      <c r="C240" s="2" t="s">
        <v>330</v>
      </c>
      <c r="D240" s="1" t="s">
        <v>30</v>
      </c>
      <c r="E240" s="1" t="s">
        <v>133</v>
      </c>
      <c r="F240" s="1" t="s">
        <v>18</v>
      </c>
      <c r="G240" s="1" t="s">
        <v>19</v>
      </c>
      <c r="H240" s="1" t="s">
        <v>45</v>
      </c>
      <c r="I240" s="1" t="s">
        <v>143</v>
      </c>
      <c r="J240" s="1">
        <v>13</v>
      </c>
      <c r="K240" s="15">
        <v>143.43</v>
      </c>
      <c r="L240" s="13">
        <v>0.05</v>
      </c>
      <c r="M240" s="10">
        <v>101.77</v>
      </c>
      <c r="N240" s="12">
        <f>(Table1[[#This Row],[Quantity]]*Table1[[#This Row],[Unit Price]])*(1-Table1[[#This Row],[Discount]])</f>
        <v>1771.3605</v>
      </c>
      <c r="O240" s="12">
        <f>(Table1[[#This Row],[Unit Price]]-Table1[[#This Row],[Unit Cost]])*Table1[[#This Row],[Quantity]]</f>
        <v>541.58000000000015</v>
      </c>
      <c r="P240" s="17" t="str">
        <f t="shared" si="3"/>
        <v>Bulk</v>
      </c>
      <c r="Q240" t="str">
        <f>IF(Table1[[#This Row],[Discount]]&gt;=15%,"HIGH",IF(Table1[[#This Row],[Discount]]&gt;=55,"MEDIUM","NONE"))</f>
        <v>NONE</v>
      </c>
      <c r="R240">
        <f>Table1[[#This Row],[Ship Date]]-Table1[[#This Row],[Order Date]]</f>
        <v>2</v>
      </c>
    </row>
    <row r="241" spans="1:18" x14ac:dyDescent="0.25">
      <c r="A241" s="3" t="s">
        <v>610</v>
      </c>
      <c r="B241" s="2" t="s">
        <v>529</v>
      </c>
      <c r="C241" s="2" t="s">
        <v>611</v>
      </c>
      <c r="D241" s="1" t="s">
        <v>30</v>
      </c>
      <c r="E241" s="1" t="s">
        <v>109</v>
      </c>
      <c r="F241" s="1" t="s">
        <v>60</v>
      </c>
      <c r="G241" s="1" t="s">
        <v>97</v>
      </c>
      <c r="H241" s="1" t="s">
        <v>33</v>
      </c>
      <c r="I241" s="1" t="s">
        <v>51</v>
      </c>
      <c r="J241" s="1">
        <v>18</v>
      </c>
      <c r="K241" s="15">
        <v>27.95</v>
      </c>
      <c r="L241" s="13">
        <v>0.2</v>
      </c>
      <c r="M241" s="10">
        <v>18.66</v>
      </c>
      <c r="N241" s="12">
        <f>(Table1[[#This Row],[Quantity]]*Table1[[#This Row],[Unit Price]])*(1-Table1[[#This Row],[Discount]])</f>
        <v>402.48</v>
      </c>
      <c r="O241" s="12">
        <f>(Table1[[#This Row],[Unit Price]]-Table1[[#This Row],[Unit Cost]])*Table1[[#This Row],[Quantity]]</f>
        <v>167.21999999999997</v>
      </c>
      <c r="P241" s="17" t="str">
        <f t="shared" si="3"/>
        <v>Bulk</v>
      </c>
      <c r="Q241" t="str">
        <f>IF(Table1[[#This Row],[Discount]]&gt;=15%,"HIGH",IF(Table1[[#This Row],[Discount]]&gt;=55,"MEDIUM","NONE"))</f>
        <v>HIGH</v>
      </c>
      <c r="R241">
        <f>Table1[[#This Row],[Ship Date]]-Table1[[#This Row],[Order Date]]</f>
        <v>2</v>
      </c>
    </row>
    <row r="242" spans="1:18" x14ac:dyDescent="0.25">
      <c r="A242" s="3" t="s">
        <v>612</v>
      </c>
      <c r="B242" s="2" t="s">
        <v>442</v>
      </c>
      <c r="C242" s="2" t="s">
        <v>498</v>
      </c>
      <c r="D242" s="1" t="s">
        <v>16</v>
      </c>
      <c r="E242" s="1" t="s">
        <v>87</v>
      </c>
      <c r="F242" s="1" t="s">
        <v>18</v>
      </c>
      <c r="G242" s="1" t="s">
        <v>26</v>
      </c>
      <c r="H242" s="1" t="s">
        <v>20</v>
      </c>
      <c r="I242" s="1" t="s">
        <v>21</v>
      </c>
      <c r="J242" s="1">
        <v>13</v>
      </c>
      <c r="K242" s="15">
        <v>632.6</v>
      </c>
      <c r="L242" s="13">
        <v>0.15</v>
      </c>
      <c r="M242" s="10">
        <v>460.63</v>
      </c>
      <c r="N242" s="12">
        <f>(Table1[[#This Row],[Quantity]]*Table1[[#This Row],[Unit Price]])*(1-Table1[[#This Row],[Discount]])</f>
        <v>6990.2300000000005</v>
      </c>
      <c r="O242" s="12">
        <f>(Table1[[#This Row],[Unit Price]]-Table1[[#This Row],[Unit Cost]])*Table1[[#This Row],[Quantity]]</f>
        <v>2235.6100000000006</v>
      </c>
      <c r="P242" s="17" t="str">
        <f t="shared" si="3"/>
        <v>Bulk</v>
      </c>
      <c r="Q242" t="str">
        <f>IF(Table1[[#This Row],[Discount]]&gt;=15%,"HIGH",IF(Table1[[#This Row],[Discount]]&gt;=55,"MEDIUM","NONE"))</f>
        <v>HIGH</v>
      </c>
      <c r="R242">
        <f>Table1[[#This Row],[Ship Date]]-Table1[[#This Row],[Order Date]]</f>
        <v>7</v>
      </c>
    </row>
    <row r="243" spans="1:18" x14ac:dyDescent="0.25">
      <c r="A243" s="3" t="s">
        <v>613</v>
      </c>
      <c r="B243" s="2" t="s">
        <v>309</v>
      </c>
      <c r="C243" s="2" t="s">
        <v>449</v>
      </c>
      <c r="D243" s="1" t="s">
        <v>30</v>
      </c>
      <c r="E243" s="1" t="s">
        <v>122</v>
      </c>
      <c r="F243" s="1" t="s">
        <v>38</v>
      </c>
      <c r="G243" s="1" t="s">
        <v>50</v>
      </c>
      <c r="H243" s="1" t="s">
        <v>61</v>
      </c>
      <c r="I243" s="1" t="s">
        <v>106</v>
      </c>
      <c r="J243" s="1">
        <v>3</v>
      </c>
      <c r="K243" s="15">
        <v>34.79</v>
      </c>
      <c r="L243" s="13">
        <v>0.1</v>
      </c>
      <c r="M243" s="10">
        <v>27.14</v>
      </c>
      <c r="N243" s="12">
        <f>(Table1[[#This Row],[Quantity]]*Table1[[#This Row],[Unit Price]])*(1-Table1[[#This Row],[Discount]])</f>
        <v>93.933000000000007</v>
      </c>
      <c r="O243" s="12">
        <f>(Table1[[#This Row],[Unit Price]]-Table1[[#This Row],[Unit Cost]])*Table1[[#This Row],[Quantity]]</f>
        <v>22.949999999999996</v>
      </c>
      <c r="P243" s="17" t="str">
        <f t="shared" si="3"/>
        <v>Bulk</v>
      </c>
      <c r="Q243" t="str">
        <f>IF(Table1[[#This Row],[Discount]]&gt;=15%,"HIGH",IF(Table1[[#This Row],[Discount]]&gt;=55,"MEDIUM","NONE"))</f>
        <v>NONE</v>
      </c>
      <c r="R243">
        <f>Table1[[#This Row],[Ship Date]]-Table1[[#This Row],[Order Date]]</f>
        <v>3</v>
      </c>
    </row>
    <row r="244" spans="1:18" x14ac:dyDescent="0.25">
      <c r="A244" s="3" t="s">
        <v>614</v>
      </c>
      <c r="B244" s="2" t="s">
        <v>615</v>
      </c>
      <c r="C244" s="2" t="s">
        <v>616</v>
      </c>
      <c r="D244" s="1" t="s">
        <v>16</v>
      </c>
      <c r="E244" s="1" t="s">
        <v>17</v>
      </c>
      <c r="F244" s="1" t="s">
        <v>60</v>
      </c>
      <c r="G244" s="1" t="s">
        <v>26</v>
      </c>
      <c r="H244" s="1" t="s">
        <v>20</v>
      </c>
      <c r="I244" s="1" t="s">
        <v>134</v>
      </c>
      <c r="J244" s="1">
        <v>3</v>
      </c>
      <c r="K244" s="15">
        <v>1113.32</v>
      </c>
      <c r="L244" s="13">
        <v>0</v>
      </c>
      <c r="M244" s="10">
        <v>738.51</v>
      </c>
      <c r="N244" s="12">
        <f>(Table1[[#This Row],[Quantity]]*Table1[[#This Row],[Unit Price]])*(1-Table1[[#This Row],[Discount]])</f>
        <v>3339.96</v>
      </c>
      <c r="O244" s="12">
        <f>(Table1[[#This Row],[Unit Price]]-Table1[[#This Row],[Unit Cost]])*Table1[[#This Row],[Quantity]]</f>
        <v>1124.4299999999998</v>
      </c>
      <c r="P244" s="17" t="str">
        <f t="shared" si="3"/>
        <v>Standard</v>
      </c>
      <c r="Q244" t="str">
        <f>IF(Table1[[#This Row],[Discount]]&gt;=15%,"HIGH",IF(Table1[[#This Row],[Discount]]&gt;=55,"MEDIUM","NONE"))</f>
        <v>NONE</v>
      </c>
      <c r="R244">
        <f>Table1[[#This Row],[Ship Date]]-Table1[[#This Row],[Order Date]]</f>
        <v>4</v>
      </c>
    </row>
    <row r="245" spans="1:18" x14ac:dyDescent="0.25">
      <c r="A245" s="3" t="s">
        <v>617</v>
      </c>
      <c r="B245" s="2" t="s">
        <v>223</v>
      </c>
      <c r="C245" s="2" t="s">
        <v>293</v>
      </c>
      <c r="D245" s="1" t="s">
        <v>16</v>
      </c>
      <c r="E245" s="1" t="s">
        <v>59</v>
      </c>
      <c r="F245" s="1" t="s">
        <v>43</v>
      </c>
      <c r="G245" s="1" t="s">
        <v>26</v>
      </c>
      <c r="H245" s="1" t="s">
        <v>45</v>
      </c>
      <c r="I245" s="1" t="s">
        <v>46</v>
      </c>
      <c r="J245" s="1">
        <v>16</v>
      </c>
      <c r="K245" s="15">
        <v>765.23</v>
      </c>
      <c r="L245" s="13">
        <v>0.1</v>
      </c>
      <c r="M245" s="10">
        <v>519.83000000000004</v>
      </c>
      <c r="N245" s="12">
        <f>(Table1[[#This Row],[Quantity]]*Table1[[#This Row],[Unit Price]])*(1-Table1[[#This Row],[Discount]])</f>
        <v>11019.312</v>
      </c>
      <c r="O245" s="12">
        <f>(Table1[[#This Row],[Unit Price]]-Table1[[#This Row],[Unit Cost]])*Table1[[#This Row],[Quantity]]</f>
        <v>3926.3999999999996</v>
      </c>
      <c r="P245" s="17" t="str">
        <f t="shared" si="3"/>
        <v>Standard</v>
      </c>
      <c r="Q245" t="str">
        <f>IF(Table1[[#This Row],[Discount]]&gt;=15%,"HIGH",IF(Table1[[#This Row],[Discount]]&gt;=55,"MEDIUM","NONE"))</f>
        <v>NONE</v>
      </c>
      <c r="R245">
        <f>Table1[[#This Row],[Ship Date]]-Table1[[#This Row],[Order Date]]</f>
        <v>6</v>
      </c>
    </row>
    <row r="246" spans="1:18" x14ac:dyDescent="0.25">
      <c r="A246" s="3" t="s">
        <v>618</v>
      </c>
      <c r="B246" s="2" t="s">
        <v>189</v>
      </c>
      <c r="C246" s="2" t="s">
        <v>554</v>
      </c>
      <c r="D246" s="1" t="s">
        <v>30</v>
      </c>
      <c r="E246" s="1" t="s">
        <v>91</v>
      </c>
      <c r="F246" s="1" t="s">
        <v>43</v>
      </c>
      <c r="G246" s="1" t="s">
        <v>32</v>
      </c>
      <c r="H246" s="1" t="s">
        <v>45</v>
      </c>
      <c r="I246" s="1" t="s">
        <v>148</v>
      </c>
      <c r="J246" s="1">
        <v>9</v>
      </c>
      <c r="K246" s="15">
        <v>447.65</v>
      </c>
      <c r="L246" s="13">
        <v>0</v>
      </c>
      <c r="M246" s="10">
        <v>325.93</v>
      </c>
      <c r="N246" s="12">
        <f>(Table1[[#This Row],[Quantity]]*Table1[[#This Row],[Unit Price]])*(1-Table1[[#This Row],[Discount]])</f>
        <v>4028.85</v>
      </c>
      <c r="O246" s="12">
        <f>(Table1[[#This Row],[Unit Price]]-Table1[[#This Row],[Unit Cost]])*Table1[[#This Row],[Quantity]]</f>
        <v>1095.4799999999998</v>
      </c>
      <c r="P246" s="17" t="str">
        <f t="shared" si="3"/>
        <v>Bulk</v>
      </c>
      <c r="Q246" t="str">
        <f>IF(Table1[[#This Row],[Discount]]&gt;=15%,"HIGH",IF(Table1[[#This Row],[Discount]]&gt;=55,"MEDIUM","NONE"))</f>
        <v>NONE</v>
      </c>
      <c r="R246">
        <f>Table1[[#This Row],[Ship Date]]-Table1[[#This Row],[Order Date]]</f>
        <v>3</v>
      </c>
    </row>
    <row r="247" spans="1:18" x14ac:dyDescent="0.25">
      <c r="A247" s="3" t="s">
        <v>619</v>
      </c>
      <c r="B247" s="2" t="s">
        <v>620</v>
      </c>
      <c r="C247" s="2" t="s">
        <v>621</v>
      </c>
      <c r="D247" s="1" t="s">
        <v>30</v>
      </c>
      <c r="E247" s="1" t="s">
        <v>109</v>
      </c>
      <c r="F247" s="1" t="s">
        <v>60</v>
      </c>
      <c r="G247" s="1" t="s">
        <v>50</v>
      </c>
      <c r="H247" s="1" t="s">
        <v>33</v>
      </c>
      <c r="I247" s="1" t="s">
        <v>34</v>
      </c>
      <c r="J247" s="1">
        <v>6</v>
      </c>
      <c r="K247" s="15">
        <v>11.69</v>
      </c>
      <c r="L247" s="13">
        <v>0</v>
      </c>
      <c r="M247" s="10">
        <v>9.0399999999999991</v>
      </c>
      <c r="N247" s="12">
        <f>(Table1[[#This Row],[Quantity]]*Table1[[#This Row],[Unit Price]])*(1-Table1[[#This Row],[Discount]])</f>
        <v>70.14</v>
      </c>
      <c r="O247" s="12">
        <f>(Table1[[#This Row],[Unit Price]]-Table1[[#This Row],[Unit Cost]])*Table1[[#This Row],[Quantity]]</f>
        <v>15.900000000000002</v>
      </c>
      <c r="P247" s="17" t="str">
        <f t="shared" si="3"/>
        <v>Standard</v>
      </c>
      <c r="Q247" t="str">
        <f>IF(Table1[[#This Row],[Discount]]&gt;=15%,"HIGH",IF(Table1[[#This Row],[Discount]]&gt;=55,"MEDIUM","NONE"))</f>
        <v>NONE</v>
      </c>
      <c r="R247">
        <f>Table1[[#This Row],[Ship Date]]-Table1[[#This Row],[Order Date]]</f>
        <v>2</v>
      </c>
    </row>
    <row r="248" spans="1:18" x14ac:dyDescent="0.25">
      <c r="A248" s="3" t="s">
        <v>622</v>
      </c>
      <c r="B248" s="2" t="s">
        <v>623</v>
      </c>
      <c r="C248" s="2" t="s">
        <v>624</v>
      </c>
      <c r="D248" s="1" t="s">
        <v>30</v>
      </c>
      <c r="E248" s="1" t="s">
        <v>17</v>
      </c>
      <c r="F248" s="1" t="s">
        <v>43</v>
      </c>
      <c r="G248" s="1" t="s">
        <v>26</v>
      </c>
      <c r="H248" s="1" t="s">
        <v>20</v>
      </c>
      <c r="I248" s="1" t="s">
        <v>21</v>
      </c>
      <c r="J248" s="1">
        <v>12</v>
      </c>
      <c r="K248" s="15">
        <v>490.43</v>
      </c>
      <c r="L248" s="13">
        <v>0</v>
      </c>
      <c r="M248" s="10">
        <v>291.68</v>
      </c>
      <c r="N248" s="12">
        <f>(Table1[[#This Row],[Quantity]]*Table1[[#This Row],[Unit Price]])*(1-Table1[[#This Row],[Discount]])</f>
        <v>5885.16</v>
      </c>
      <c r="O248" s="12">
        <f>(Table1[[#This Row],[Unit Price]]-Table1[[#This Row],[Unit Cost]])*Table1[[#This Row],[Quantity]]</f>
        <v>2385</v>
      </c>
      <c r="P248" s="17" t="str">
        <f t="shared" si="3"/>
        <v>Standard</v>
      </c>
      <c r="Q248" t="str">
        <f>IF(Table1[[#This Row],[Discount]]&gt;=15%,"HIGH",IF(Table1[[#This Row],[Discount]]&gt;=55,"MEDIUM","NONE"))</f>
        <v>NONE</v>
      </c>
      <c r="R248">
        <f>Table1[[#This Row],[Ship Date]]-Table1[[#This Row],[Order Date]]</f>
        <v>3</v>
      </c>
    </row>
    <row r="249" spans="1:18" x14ac:dyDescent="0.25">
      <c r="A249" s="3" t="s">
        <v>625</v>
      </c>
      <c r="B249" s="2" t="s">
        <v>370</v>
      </c>
      <c r="C249" s="2" t="s">
        <v>494</v>
      </c>
      <c r="D249" s="1" t="s">
        <v>16</v>
      </c>
      <c r="E249" s="1" t="s">
        <v>117</v>
      </c>
      <c r="F249" s="1" t="s">
        <v>60</v>
      </c>
      <c r="G249" s="1" t="s">
        <v>44</v>
      </c>
      <c r="H249" s="1" t="s">
        <v>33</v>
      </c>
      <c r="I249" s="1" t="s">
        <v>51</v>
      </c>
      <c r="J249" s="1">
        <v>19</v>
      </c>
      <c r="K249" s="15">
        <v>16.170000000000002</v>
      </c>
      <c r="L249" s="13">
        <v>0.1</v>
      </c>
      <c r="M249" s="10">
        <v>11.62</v>
      </c>
      <c r="N249" s="12">
        <f>(Table1[[#This Row],[Quantity]]*Table1[[#This Row],[Unit Price]])*(1-Table1[[#This Row],[Discount]])</f>
        <v>276.50700000000001</v>
      </c>
      <c r="O249" s="12">
        <f>(Table1[[#This Row],[Unit Price]]-Table1[[#This Row],[Unit Cost]])*Table1[[#This Row],[Quantity]]</f>
        <v>86.450000000000045</v>
      </c>
      <c r="P249" s="17" t="str">
        <f t="shared" si="3"/>
        <v>Bulk</v>
      </c>
      <c r="Q249" t="str">
        <f>IF(Table1[[#This Row],[Discount]]&gt;=15%,"HIGH",IF(Table1[[#This Row],[Discount]]&gt;=55,"MEDIUM","NONE"))</f>
        <v>NONE</v>
      </c>
      <c r="R249">
        <f>Table1[[#This Row],[Ship Date]]-Table1[[#This Row],[Order Date]]</f>
        <v>4</v>
      </c>
    </row>
    <row r="250" spans="1:18" x14ac:dyDescent="0.25">
      <c r="A250" s="3" t="s">
        <v>626</v>
      </c>
      <c r="B250" s="2" t="s">
        <v>627</v>
      </c>
      <c r="C250" s="2" t="s">
        <v>359</v>
      </c>
      <c r="D250" s="1" t="s">
        <v>30</v>
      </c>
      <c r="E250" s="1" t="s">
        <v>75</v>
      </c>
      <c r="F250" s="1" t="s">
        <v>43</v>
      </c>
      <c r="G250" s="1" t="s">
        <v>44</v>
      </c>
      <c r="H250" s="1" t="s">
        <v>20</v>
      </c>
      <c r="I250" s="1" t="s">
        <v>139</v>
      </c>
      <c r="J250" s="1">
        <v>11</v>
      </c>
      <c r="K250" s="15">
        <v>149.34</v>
      </c>
      <c r="L250" s="13">
        <v>0.05</v>
      </c>
      <c r="M250" s="10">
        <v>82.43</v>
      </c>
      <c r="N250" s="12">
        <f>(Table1[[#This Row],[Quantity]]*Table1[[#This Row],[Unit Price]])*(1-Table1[[#This Row],[Discount]])</f>
        <v>1560.6029999999998</v>
      </c>
      <c r="O250" s="12">
        <f>(Table1[[#This Row],[Unit Price]]-Table1[[#This Row],[Unit Cost]])*Table1[[#This Row],[Quantity]]</f>
        <v>736.01</v>
      </c>
      <c r="P250" s="17" t="str">
        <f t="shared" si="3"/>
        <v>Bulk</v>
      </c>
      <c r="Q250" t="str">
        <f>IF(Table1[[#This Row],[Discount]]&gt;=15%,"HIGH",IF(Table1[[#This Row],[Discount]]&gt;=55,"MEDIUM","NONE"))</f>
        <v>NONE</v>
      </c>
      <c r="R250">
        <f>Table1[[#This Row],[Ship Date]]-Table1[[#This Row],[Order Date]]</f>
        <v>3</v>
      </c>
    </row>
    <row r="251" spans="1:18" x14ac:dyDescent="0.25">
      <c r="A251" s="3" t="s">
        <v>628</v>
      </c>
      <c r="B251" s="2" t="s">
        <v>629</v>
      </c>
      <c r="C251" s="2" t="s">
        <v>629</v>
      </c>
      <c r="D251" s="1" t="s">
        <v>24</v>
      </c>
      <c r="E251" s="1" t="s">
        <v>75</v>
      </c>
      <c r="F251" s="1" t="s">
        <v>25</v>
      </c>
      <c r="G251" s="1" t="s">
        <v>32</v>
      </c>
      <c r="H251" s="1" t="s">
        <v>33</v>
      </c>
      <c r="I251" s="1" t="s">
        <v>153</v>
      </c>
      <c r="J251" s="1">
        <v>16</v>
      </c>
      <c r="K251" s="15">
        <v>39.92</v>
      </c>
      <c r="L251" s="13">
        <v>0.2</v>
      </c>
      <c r="M251" s="10">
        <v>23.91</v>
      </c>
      <c r="N251" s="12">
        <f>(Table1[[#This Row],[Quantity]]*Table1[[#This Row],[Unit Price]])*(1-Table1[[#This Row],[Discount]])</f>
        <v>510.97600000000006</v>
      </c>
      <c r="O251" s="12">
        <f>(Table1[[#This Row],[Unit Price]]-Table1[[#This Row],[Unit Cost]])*Table1[[#This Row],[Quantity]]</f>
        <v>256.16000000000003</v>
      </c>
      <c r="P251" s="17" t="str">
        <f t="shared" si="3"/>
        <v>Bulk</v>
      </c>
      <c r="Q251" t="str">
        <f>IF(Table1[[#This Row],[Discount]]&gt;=15%,"HIGH",IF(Table1[[#This Row],[Discount]]&gt;=55,"MEDIUM","NONE"))</f>
        <v>HIGH</v>
      </c>
      <c r="R251">
        <f>Table1[[#This Row],[Ship Date]]-Table1[[#This Row],[Order Date]]</f>
        <v>0</v>
      </c>
    </row>
    <row r="252" spans="1:18" x14ac:dyDescent="0.25">
      <c r="A252" s="3" t="s">
        <v>630</v>
      </c>
      <c r="B252" s="2" t="s">
        <v>177</v>
      </c>
      <c r="C252" s="2" t="s">
        <v>177</v>
      </c>
      <c r="D252" s="1" t="s">
        <v>24</v>
      </c>
      <c r="E252" s="1" t="s">
        <v>122</v>
      </c>
      <c r="F252" s="1" t="s">
        <v>25</v>
      </c>
      <c r="G252" s="1" t="s">
        <v>32</v>
      </c>
      <c r="H252" s="1" t="s">
        <v>61</v>
      </c>
      <c r="I252" s="1" t="s">
        <v>106</v>
      </c>
      <c r="J252" s="1">
        <v>23</v>
      </c>
      <c r="K252" s="15">
        <v>80.180000000000007</v>
      </c>
      <c r="L252" s="13">
        <v>0</v>
      </c>
      <c r="M252" s="10">
        <v>44.13</v>
      </c>
      <c r="N252" s="12">
        <f>(Table1[[#This Row],[Quantity]]*Table1[[#This Row],[Unit Price]])*(1-Table1[[#This Row],[Discount]])</f>
        <v>1844.14</v>
      </c>
      <c r="O252" s="12">
        <f>(Table1[[#This Row],[Unit Price]]-Table1[[#This Row],[Unit Cost]])*Table1[[#This Row],[Quantity]]</f>
        <v>829.15000000000009</v>
      </c>
      <c r="P252" s="17" t="str">
        <f t="shared" si="3"/>
        <v>Bulk</v>
      </c>
      <c r="Q252" t="str">
        <f>IF(Table1[[#This Row],[Discount]]&gt;=15%,"HIGH",IF(Table1[[#This Row],[Discount]]&gt;=55,"MEDIUM","NONE"))</f>
        <v>NONE</v>
      </c>
      <c r="R252">
        <f>Table1[[#This Row],[Ship Date]]-Table1[[#This Row],[Order Date]]</f>
        <v>0</v>
      </c>
    </row>
    <row r="253" spans="1:18" x14ac:dyDescent="0.25">
      <c r="A253" s="3" t="s">
        <v>631</v>
      </c>
      <c r="B253" s="2" t="s">
        <v>579</v>
      </c>
      <c r="C253" s="2" t="s">
        <v>632</v>
      </c>
      <c r="D253" s="1" t="s">
        <v>16</v>
      </c>
      <c r="E253" s="1" t="s">
        <v>31</v>
      </c>
      <c r="F253" s="1" t="s">
        <v>25</v>
      </c>
      <c r="G253" s="1" t="s">
        <v>82</v>
      </c>
      <c r="H253" s="1" t="s">
        <v>45</v>
      </c>
      <c r="I253" s="1" t="s">
        <v>83</v>
      </c>
      <c r="J253" s="1">
        <v>5</v>
      </c>
      <c r="K253" s="15">
        <v>586.62</v>
      </c>
      <c r="L253" s="13">
        <v>0</v>
      </c>
      <c r="M253" s="10">
        <v>329.08</v>
      </c>
      <c r="N253" s="12">
        <f>(Table1[[#This Row],[Quantity]]*Table1[[#This Row],[Unit Price]])*(1-Table1[[#This Row],[Discount]])</f>
        <v>2933.1</v>
      </c>
      <c r="O253" s="12">
        <f>(Table1[[#This Row],[Unit Price]]-Table1[[#This Row],[Unit Cost]])*Table1[[#This Row],[Quantity]]</f>
        <v>1287.7</v>
      </c>
      <c r="P253" s="17" t="str">
        <f t="shared" si="3"/>
        <v>Bulk</v>
      </c>
      <c r="Q253" t="str">
        <f>IF(Table1[[#This Row],[Discount]]&gt;=15%,"HIGH",IF(Table1[[#This Row],[Discount]]&gt;=55,"MEDIUM","NONE"))</f>
        <v>NONE</v>
      </c>
      <c r="R253">
        <f>Table1[[#This Row],[Ship Date]]-Table1[[#This Row],[Order Date]]</f>
        <v>5</v>
      </c>
    </row>
    <row r="254" spans="1:18" x14ac:dyDescent="0.25">
      <c r="A254" s="3" t="s">
        <v>633</v>
      </c>
      <c r="B254" s="2" t="s">
        <v>634</v>
      </c>
      <c r="C254" s="2" t="s">
        <v>634</v>
      </c>
      <c r="D254" s="1" t="s">
        <v>24</v>
      </c>
      <c r="E254" s="1" t="s">
        <v>109</v>
      </c>
      <c r="F254" s="1" t="s">
        <v>43</v>
      </c>
      <c r="G254" s="1" t="s">
        <v>67</v>
      </c>
      <c r="H254" s="1" t="s">
        <v>33</v>
      </c>
      <c r="I254" s="1" t="s">
        <v>76</v>
      </c>
      <c r="J254" s="1">
        <v>5</v>
      </c>
      <c r="K254" s="15">
        <v>26.21</v>
      </c>
      <c r="L254" s="13">
        <v>0.05</v>
      </c>
      <c r="M254" s="10">
        <v>14.91</v>
      </c>
      <c r="N254" s="12">
        <f>(Table1[[#This Row],[Quantity]]*Table1[[#This Row],[Unit Price]])*(1-Table1[[#This Row],[Discount]])</f>
        <v>124.4975</v>
      </c>
      <c r="O254" s="12">
        <f>(Table1[[#This Row],[Unit Price]]-Table1[[#This Row],[Unit Cost]])*Table1[[#This Row],[Quantity]]</f>
        <v>56.5</v>
      </c>
      <c r="P254" s="17" t="str">
        <f t="shared" si="3"/>
        <v>Standard</v>
      </c>
      <c r="Q254" t="str">
        <f>IF(Table1[[#This Row],[Discount]]&gt;=15%,"HIGH",IF(Table1[[#This Row],[Discount]]&gt;=55,"MEDIUM","NONE"))</f>
        <v>NONE</v>
      </c>
      <c r="R254">
        <f>Table1[[#This Row],[Ship Date]]-Table1[[#This Row],[Order Date]]</f>
        <v>0</v>
      </c>
    </row>
    <row r="255" spans="1:18" x14ac:dyDescent="0.25">
      <c r="A255" s="3" t="s">
        <v>635</v>
      </c>
      <c r="B255" s="2" t="s">
        <v>58</v>
      </c>
      <c r="C255" s="2" t="s">
        <v>636</v>
      </c>
      <c r="D255" s="1" t="s">
        <v>30</v>
      </c>
      <c r="E255" s="1" t="s">
        <v>37</v>
      </c>
      <c r="F255" s="1" t="s">
        <v>18</v>
      </c>
      <c r="G255" s="1" t="s">
        <v>32</v>
      </c>
      <c r="H255" s="1" t="s">
        <v>45</v>
      </c>
      <c r="I255" s="1" t="s">
        <v>68</v>
      </c>
      <c r="J255" s="1">
        <v>23</v>
      </c>
      <c r="K255" s="15">
        <v>675.61</v>
      </c>
      <c r="L255" s="13">
        <v>0</v>
      </c>
      <c r="M255" s="10">
        <v>425.31</v>
      </c>
      <c r="N255" s="12">
        <f>(Table1[[#This Row],[Quantity]]*Table1[[#This Row],[Unit Price]])*(1-Table1[[#This Row],[Discount]])</f>
        <v>15539.03</v>
      </c>
      <c r="O255" s="12">
        <f>(Table1[[#This Row],[Unit Price]]-Table1[[#This Row],[Unit Cost]])*Table1[[#This Row],[Quantity]]</f>
        <v>5756.9000000000005</v>
      </c>
      <c r="P255" s="17" t="str">
        <f t="shared" si="3"/>
        <v>Standard</v>
      </c>
      <c r="Q255" t="str">
        <f>IF(Table1[[#This Row],[Discount]]&gt;=15%,"HIGH",IF(Table1[[#This Row],[Discount]]&gt;=55,"MEDIUM","NONE"))</f>
        <v>NONE</v>
      </c>
      <c r="R255">
        <f>Table1[[#This Row],[Ship Date]]-Table1[[#This Row],[Order Date]]</f>
        <v>2</v>
      </c>
    </row>
    <row r="256" spans="1:18" x14ac:dyDescent="0.25">
      <c r="A256" s="3" t="s">
        <v>637</v>
      </c>
      <c r="B256" s="2" t="s">
        <v>638</v>
      </c>
      <c r="C256" s="2" t="s">
        <v>639</v>
      </c>
      <c r="D256" s="1" t="s">
        <v>16</v>
      </c>
      <c r="E256" s="1" t="s">
        <v>96</v>
      </c>
      <c r="F256" s="1" t="s">
        <v>38</v>
      </c>
      <c r="G256" s="1" t="s">
        <v>50</v>
      </c>
      <c r="H256" s="1" t="s">
        <v>45</v>
      </c>
      <c r="I256" s="1" t="s">
        <v>68</v>
      </c>
      <c r="J256" s="1">
        <v>6</v>
      </c>
      <c r="K256" s="15">
        <v>392.68</v>
      </c>
      <c r="L256" s="13">
        <v>0</v>
      </c>
      <c r="M256" s="10">
        <v>255.88</v>
      </c>
      <c r="N256" s="12">
        <f>(Table1[[#This Row],[Quantity]]*Table1[[#This Row],[Unit Price]])*(1-Table1[[#This Row],[Discount]])</f>
        <v>2356.08</v>
      </c>
      <c r="O256" s="12">
        <f>(Table1[[#This Row],[Unit Price]]-Table1[[#This Row],[Unit Cost]])*Table1[[#This Row],[Quantity]]</f>
        <v>820.80000000000007</v>
      </c>
      <c r="P256" s="17" t="str">
        <f t="shared" si="3"/>
        <v>Bulk</v>
      </c>
      <c r="Q256" t="str">
        <f>IF(Table1[[#This Row],[Discount]]&gt;=15%,"HIGH",IF(Table1[[#This Row],[Discount]]&gt;=55,"MEDIUM","NONE"))</f>
        <v>NONE</v>
      </c>
      <c r="R256">
        <f>Table1[[#This Row],[Ship Date]]-Table1[[#This Row],[Order Date]]</f>
        <v>6</v>
      </c>
    </row>
    <row r="257" spans="1:18" x14ac:dyDescent="0.25">
      <c r="A257" s="3" t="s">
        <v>640</v>
      </c>
      <c r="B257" s="2" t="s">
        <v>641</v>
      </c>
      <c r="C257" s="2" t="s">
        <v>620</v>
      </c>
      <c r="D257" s="1" t="s">
        <v>16</v>
      </c>
      <c r="E257" s="1" t="s">
        <v>96</v>
      </c>
      <c r="F257" s="1" t="s">
        <v>18</v>
      </c>
      <c r="G257" s="1" t="s">
        <v>67</v>
      </c>
      <c r="H257" s="1" t="s">
        <v>33</v>
      </c>
      <c r="I257" s="1" t="s">
        <v>76</v>
      </c>
      <c r="J257" s="1">
        <v>22</v>
      </c>
      <c r="K257" s="15">
        <v>13.56</v>
      </c>
      <c r="L257" s="13">
        <v>0.15</v>
      </c>
      <c r="M257" s="10">
        <v>9.82</v>
      </c>
      <c r="N257" s="12">
        <f>(Table1[[#This Row],[Quantity]]*Table1[[#This Row],[Unit Price]])*(1-Table1[[#This Row],[Discount]])</f>
        <v>253.57199999999997</v>
      </c>
      <c r="O257" s="12">
        <f>(Table1[[#This Row],[Unit Price]]-Table1[[#This Row],[Unit Cost]])*Table1[[#This Row],[Quantity]]</f>
        <v>82.28</v>
      </c>
      <c r="P257" s="17" t="str">
        <f t="shared" si="3"/>
        <v>Standard</v>
      </c>
      <c r="Q257" t="str">
        <f>IF(Table1[[#This Row],[Discount]]&gt;=15%,"HIGH",IF(Table1[[#This Row],[Discount]]&gt;=55,"MEDIUM","NONE"))</f>
        <v>HIGH</v>
      </c>
      <c r="R257">
        <f>Table1[[#This Row],[Ship Date]]-Table1[[#This Row],[Order Date]]</f>
        <v>4</v>
      </c>
    </row>
    <row r="258" spans="1:18" x14ac:dyDescent="0.25">
      <c r="A258" s="3" t="s">
        <v>642</v>
      </c>
      <c r="B258" s="2" t="s">
        <v>427</v>
      </c>
      <c r="C258" s="2" t="s">
        <v>427</v>
      </c>
      <c r="D258" s="1" t="s">
        <v>24</v>
      </c>
      <c r="E258" s="1" t="s">
        <v>206</v>
      </c>
      <c r="F258" s="1" t="s">
        <v>25</v>
      </c>
      <c r="G258" s="1" t="s">
        <v>97</v>
      </c>
      <c r="H258" s="1" t="s">
        <v>45</v>
      </c>
      <c r="I258" s="1" t="s">
        <v>46</v>
      </c>
      <c r="J258" s="1">
        <v>2</v>
      </c>
      <c r="K258" s="15">
        <v>561.12</v>
      </c>
      <c r="L258" s="13">
        <v>0</v>
      </c>
      <c r="M258" s="10">
        <v>423.66</v>
      </c>
      <c r="N258" s="12">
        <f>(Table1[[#This Row],[Quantity]]*Table1[[#This Row],[Unit Price]])*(1-Table1[[#This Row],[Discount]])</f>
        <v>1122.24</v>
      </c>
      <c r="O258" s="12">
        <f>(Table1[[#This Row],[Unit Price]]-Table1[[#This Row],[Unit Cost]])*Table1[[#This Row],[Quantity]]</f>
        <v>274.91999999999996</v>
      </c>
      <c r="P258" s="17" t="str">
        <f t="shared" ref="P258:P321" si="4">IF(J257&gt;10,"Bulk","Standard")</f>
        <v>Bulk</v>
      </c>
      <c r="Q258" t="str">
        <f>IF(Table1[[#This Row],[Discount]]&gt;=15%,"HIGH",IF(Table1[[#This Row],[Discount]]&gt;=55,"MEDIUM","NONE"))</f>
        <v>NONE</v>
      </c>
      <c r="R258">
        <f>Table1[[#This Row],[Ship Date]]-Table1[[#This Row],[Order Date]]</f>
        <v>0</v>
      </c>
    </row>
    <row r="259" spans="1:18" x14ac:dyDescent="0.25">
      <c r="A259" s="3" t="s">
        <v>643</v>
      </c>
      <c r="B259" s="2" t="s">
        <v>205</v>
      </c>
      <c r="C259" s="2" t="s">
        <v>644</v>
      </c>
      <c r="D259" s="1" t="s">
        <v>30</v>
      </c>
      <c r="E259" s="1" t="s">
        <v>17</v>
      </c>
      <c r="F259" s="1" t="s">
        <v>38</v>
      </c>
      <c r="G259" s="1" t="s">
        <v>67</v>
      </c>
      <c r="H259" s="1" t="s">
        <v>61</v>
      </c>
      <c r="I259" s="1" t="s">
        <v>72</v>
      </c>
      <c r="J259" s="1">
        <v>4</v>
      </c>
      <c r="K259" s="15">
        <v>74.31</v>
      </c>
      <c r="L259" s="13">
        <v>0</v>
      </c>
      <c r="M259" s="10">
        <v>43.13</v>
      </c>
      <c r="N259" s="12">
        <f>(Table1[[#This Row],[Quantity]]*Table1[[#This Row],[Unit Price]])*(1-Table1[[#This Row],[Discount]])</f>
        <v>297.24</v>
      </c>
      <c r="O259" s="12">
        <f>(Table1[[#This Row],[Unit Price]]-Table1[[#This Row],[Unit Cost]])*Table1[[#This Row],[Quantity]]</f>
        <v>124.72</v>
      </c>
      <c r="P259" s="17" t="str">
        <f t="shared" si="4"/>
        <v>Standard</v>
      </c>
      <c r="Q259" t="str">
        <f>IF(Table1[[#This Row],[Discount]]&gt;=15%,"HIGH",IF(Table1[[#This Row],[Discount]]&gt;=55,"MEDIUM","NONE"))</f>
        <v>NONE</v>
      </c>
      <c r="R259">
        <f>Table1[[#This Row],[Ship Date]]-Table1[[#This Row],[Order Date]]</f>
        <v>2</v>
      </c>
    </row>
    <row r="260" spans="1:18" x14ac:dyDescent="0.25">
      <c r="A260" s="3" t="s">
        <v>645</v>
      </c>
      <c r="B260" s="2" t="s">
        <v>646</v>
      </c>
      <c r="C260" s="2" t="s">
        <v>125</v>
      </c>
      <c r="D260" s="1" t="s">
        <v>16</v>
      </c>
      <c r="E260" s="1" t="s">
        <v>49</v>
      </c>
      <c r="F260" s="1" t="s">
        <v>18</v>
      </c>
      <c r="G260" s="1" t="s">
        <v>44</v>
      </c>
      <c r="H260" s="1" t="s">
        <v>45</v>
      </c>
      <c r="I260" s="1" t="s">
        <v>143</v>
      </c>
      <c r="J260" s="1">
        <v>1</v>
      </c>
      <c r="K260" s="15">
        <v>797.9</v>
      </c>
      <c r="L260" s="13">
        <v>0</v>
      </c>
      <c r="M260" s="10">
        <v>618.87</v>
      </c>
      <c r="N260" s="12">
        <f>(Table1[[#This Row],[Quantity]]*Table1[[#This Row],[Unit Price]])*(1-Table1[[#This Row],[Discount]])</f>
        <v>797.9</v>
      </c>
      <c r="O260" s="12">
        <f>(Table1[[#This Row],[Unit Price]]-Table1[[#This Row],[Unit Cost]])*Table1[[#This Row],[Quantity]]</f>
        <v>179.02999999999997</v>
      </c>
      <c r="P260" s="17" t="str">
        <f t="shared" si="4"/>
        <v>Standard</v>
      </c>
      <c r="Q260" t="str">
        <f>IF(Table1[[#This Row],[Discount]]&gt;=15%,"HIGH",IF(Table1[[#This Row],[Discount]]&gt;=55,"MEDIUM","NONE"))</f>
        <v>NONE</v>
      </c>
      <c r="R260">
        <f>Table1[[#This Row],[Ship Date]]-Table1[[#This Row],[Order Date]]</f>
        <v>7</v>
      </c>
    </row>
    <row r="261" spans="1:18" x14ac:dyDescent="0.25">
      <c r="A261" s="3" t="s">
        <v>647</v>
      </c>
      <c r="B261" s="2" t="s">
        <v>648</v>
      </c>
      <c r="C261" s="2" t="s">
        <v>281</v>
      </c>
      <c r="D261" s="1" t="s">
        <v>16</v>
      </c>
      <c r="E261" s="1" t="s">
        <v>75</v>
      </c>
      <c r="F261" s="1" t="s">
        <v>43</v>
      </c>
      <c r="G261" s="1" t="s">
        <v>26</v>
      </c>
      <c r="H261" s="1" t="s">
        <v>33</v>
      </c>
      <c r="I261" s="1" t="s">
        <v>34</v>
      </c>
      <c r="J261" s="1">
        <v>19</v>
      </c>
      <c r="K261" s="15">
        <v>18.46</v>
      </c>
      <c r="L261" s="13">
        <v>0.15</v>
      </c>
      <c r="M261" s="10">
        <v>11.98</v>
      </c>
      <c r="N261" s="12">
        <f>(Table1[[#This Row],[Quantity]]*Table1[[#This Row],[Unit Price]])*(1-Table1[[#This Row],[Discount]])</f>
        <v>298.12900000000002</v>
      </c>
      <c r="O261" s="12">
        <f>(Table1[[#This Row],[Unit Price]]-Table1[[#This Row],[Unit Cost]])*Table1[[#This Row],[Quantity]]</f>
        <v>123.12</v>
      </c>
      <c r="P261" s="17" t="str">
        <f t="shared" si="4"/>
        <v>Standard</v>
      </c>
      <c r="Q261" t="str">
        <f>IF(Table1[[#This Row],[Discount]]&gt;=15%,"HIGH",IF(Table1[[#This Row],[Discount]]&gt;=55,"MEDIUM","NONE"))</f>
        <v>HIGH</v>
      </c>
      <c r="R261">
        <f>Table1[[#This Row],[Ship Date]]-Table1[[#This Row],[Order Date]]</f>
        <v>4</v>
      </c>
    </row>
    <row r="262" spans="1:18" x14ac:dyDescent="0.25">
      <c r="A262" s="3" t="s">
        <v>649</v>
      </c>
      <c r="B262" s="2" t="s">
        <v>650</v>
      </c>
      <c r="C262" s="2" t="s">
        <v>651</v>
      </c>
      <c r="D262" s="1" t="s">
        <v>30</v>
      </c>
      <c r="E262" s="1" t="s">
        <v>87</v>
      </c>
      <c r="F262" s="1" t="s">
        <v>18</v>
      </c>
      <c r="G262" s="1" t="s">
        <v>50</v>
      </c>
      <c r="H262" s="1" t="s">
        <v>61</v>
      </c>
      <c r="I262" s="1" t="s">
        <v>88</v>
      </c>
      <c r="J262" s="1">
        <v>9</v>
      </c>
      <c r="K262" s="15">
        <v>45.68</v>
      </c>
      <c r="L262" s="13">
        <v>0</v>
      </c>
      <c r="M262" s="10">
        <v>25.52</v>
      </c>
      <c r="N262" s="12">
        <f>(Table1[[#This Row],[Quantity]]*Table1[[#This Row],[Unit Price]])*(1-Table1[[#This Row],[Discount]])</f>
        <v>411.12</v>
      </c>
      <c r="O262" s="12">
        <f>(Table1[[#This Row],[Unit Price]]-Table1[[#This Row],[Unit Cost]])*Table1[[#This Row],[Quantity]]</f>
        <v>181.44</v>
      </c>
      <c r="P262" s="17" t="str">
        <f t="shared" si="4"/>
        <v>Bulk</v>
      </c>
      <c r="Q262" t="str">
        <f>IF(Table1[[#This Row],[Discount]]&gt;=15%,"HIGH",IF(Table1[[#This Row],[Discount]]&gt;=55,"MEDIUM","NONE"))</f>
        <v>NONE</v>
      </c>
      <c r="R262">
        <f>Table1[[#This Row],[Ship Date]]-Table1[[#This Row],[Order Date]]</f>
        <v>3</v>
      </c>
    </row>
    <row r="263" spans="1:18" x14ac:dyDescent="0.25">
      <c r="A263" s="3" t="s">
        <v>652</v>
      </c>
      <c r="B263" s="2" t="s">
        <v>653</v>
      </c>
      <c r="C263" s="2" t="s">
        <v>654</v>
      </c>
      <c r="D263" s="1" t="s">
        <v>30</v>
      </c>
      <c r="E263" s="1" t="s">
        <v>133</v>
      </c>
      <c r="F263" s="1" t="s">
        <v>60</v>
      </c>
      <c r="G263" s="1" t="s">
        <v>67</v>
      </c>
      <c r="H263" s="1" t="s">
        <v>61</v>
      </c>
      <c r="I263" s="1" t="s">
        <v>72</v>
      </c>
      <c r="J263" s="1">
        <v>13</v>
      </c>
      <c r="K263" s="15">
        <v>20.98</v>
      </c>
      <c r="L263" s="13">
        <v>0</v>
      </c>
      <c r="M263" s="10">
        <v>14.91</v>
      </c>
      <c r="N263" s="12">
        <f>(Table1[[#This Row],[Quantity]]*Table1[[#This Row],[Unit Price]])*(1-Table1[[#This Row],[Discount]])</f>
        <v>272.74</v>
      </c>
      <c r="O263" s="12">
        <f>(Table1[[#This Row],[Unit Price]]-Table1[[#This Row],[Unit Cost]])*Table1[[#This Row],[Quantity]]</f>
        <v>78.91</v>
      </c>
      <c r="P263" s="17" t="str">
        <f t="shared" si="4"/>
        <v>Standard</v>
      </c>
      <c r="Q263" t="str">
        <f>IF(Table1[[#This Row],[Discount]]&gt;=15%,"HIGH",IF(Table1[[#This Row],[Discount]]&gt;=55,"MEDIUM","NONE"))</f>
        <v>NONE</v>
      </c>
      <c r="R263">
        <f>Table1[[#This Row],[Ship Date]]-Table1[[#This Row],[Order Date]]</f>
        <v>2</v>
      </c>
    </row>
    <row r="264" spans="1:18" x14ac:dyDescent="0.25">
      <c r="A264" s="3" t="s">
        <v>655</v>
      </c>
      <c r="B264" s="2" t="s">
        <v>479</v>
      </c>
      <c r="C264" s="2" t="s">
        <v>479</v>
      </c>
      <c r="D264" s="1" t="s">
        <v>24</v>
      </c>
      <c r="E264" s="1" t="s">
        <v>66</v>
      </c>
      <c r="F264" s="1" t="s">
        <v>38</v>
      </c>
      <c r="G264" s="1" t="s">
        <v>32</v>
      </c>
      <c r="H264" s="1" t="s">
        <v>33</v>
      </c>
      <c r="I264" s="1" t="s">
        <v>76</v>
      </c>
      <c r="J264" s="1">
        <v>17</v>
      </c>
      <c r="K264" s="15">
        <v>14.22</v>
      </c>
      <c r="L264" s="13">
        <v>0</v>
      </c>
      <c r="M264" s="10">
        <v>8.4600000000000009</v>
      </c>
      <c r="N264" s="12">
        <f>(Table1[[#This Row],[Quantity]]*Table1[[#This Row],[Unit Price]])*(1-Table1[[#This Row],[Discount]])</f>
        <v>241.74</v>
      </c>
      <c r="O264" s="12">
        <f>(Table1[[#This Row],[Unit Price]]-Table1[[#This Row],[Unit Cost]])*Table1[[#This Row],[Quantity]]</f>
        <v>97.92</v>
      </c>
      <c r="P264" s="17" t="str">
        <f t="shared" si="4"/>
        <v>Bulk</v>
      </c>
      <c r="Q264" t="str">
        <f>IF(Table1[[#This Row],[Discount]]&gt;=15%,"HIGH",IF(Table1[[#This Row],[Discount]]&gt;=55,"MEDIUM","NONE"))</f>
        <v>NONE</v>
      </c>
      <c r="R264">
        <f>Table1[[#This Row],[Ship Date]]-Table1[[#This Row],[Order Date]]</f>
        <v>0</v>
      </c>
    </row>
    <row r="265" spans="1:18" x14ac:dyDescent="0.25">
      <c r="A265" s="3" t="s">
        <v>656</v>
      </c>
      <c r="B265" s="2" t="s">
        <v>525</v>
      </c>
      <c r="C265" s="2" t="s">
        <v>525</v>
      </c>
      <c r="D265" s="1" t="s">
        <v>24</v>
      </c>
      <c r="E265" s="1" t="s">
        <v>71</v>
      </c>
      <c r="F265" s="1" t="s">
        <v>60</v>
      </c>
      <c r="G265" s="1" t="s">
        <v>32</v>
      </c>
      <c r="H265" s="1" t="s">
        <v>33</v>
      </c>
      <c r="I265" s="1" t="s">
        <v>34</v>
      </c>
      <c r="J265" s="1">
        <v>8</v>
      </c>
      <c r="K265" s="15">
        <v>39.01</v>
      </c>
      <c r="L265" s="13">
        <v>0</v>
      </c>
      <c r="M265" s="10">
        <v>23.87</v>
      </c>
      <c r="N265" s="12">
        <f>(Table1[[#This Row],[Quantity]]*Table1[[#This Row],[Unit Price]])*(1-Table1[[#This Row],[Discount]])</f>
        <v>312.08</v>
      </c>
      <c r="O265" s="12">
        <f>(Table1[[#This Row],[Unit Price]]-Table1[[#This Row],[Unit Cost]])*Table1[[#This Row],[Quantity]]</f>
        <v>121.11999999999998</v>
      </c>
      <c r="P265" s="17" t="str">
        <f t="shared" si="4"/>
        <v>Bulk</v>
      </c>
      <c r="Q265" t="str">
        <f>IF(Table1[[#This Row],[Discount]]&gt;=15%,"HIGH",IF(Table1[[#This Row],[Discount]]&gt;=55,"MEDIUM","NONE"))</f>
        <v>NONE</v>
      </c>
      <c r="R265">
        <f>Table1[[#This Row],[Ship Date]]-Table1[[#This Row],[Order Date]]</f>
        <v>0</v>
      </c>
    </row>
    <row r="266" spans="1:18" x14ac:dyDescent="0.25">
      <c r="A266" s="3" t="s">
        <v>657</v>
      </c>
      <c r="B266" s="2" t="s">
        <v>658</v>
      </c>
      <c r="C266" s="2" t="s">
        <v>659</v>
      </c>
      <c r="D266" s="1" t="s">
        <v>16</v>
      </c>
      <c r="E266" s="1" t="s">
        <v>55</v>
      </c>
      <c r="F266" s="1" t="s">
        <v>38</v>
      </c>
      <c r="G266" s="1" t="s">
        <v>32</v>
      </c>
      <c r="H266" s="1" t="s">
        <v>20</v>
      </c>
      <c r="I266" s="1" t="s">
        <v>113</v>
      </c>
      <c r="J266" s="1">
        <v>6</v>
      </c>
      <c r="K266" s="15">
        <v>322.02999999999997</v>
      </c>
      <c r="L266" s="13">
        <v>0</v>
      </c>
      <c r="M266" s="10">
        <v>242.02</v>
      </c>
      <c r="N266" s="12">
        <f>(Table1[[#This Row],[Quantity]]*Table1[[#This Row],[Unit Price]])*(1-Table1[[#This Row],[Discount]])</f>
        <v>1932.1799999999998</v>
      </c>
      <c r="O266" s="12">
        <f>(Table1[[#This Row],[Unit Price]]-Table1[[#This Row],[Unit Cost]])*Table1[[#This Row],[Quantity]]</f>
        <v>480.05999999999977</v>
      </c>
      <c r="P266" s="17" t="str">
        <f t="shared" si="4"/>
        <v>Standard</v>
      </c>
      <c r="Q266" t="str">
        <f>IF(Table1[[#This Row],[Discount]]&gt;=15%,"HIGH",IF(Table1[[#This Row],[Discount]]&gt;=55,"MEDIUM","NONE"))</f>
        <v>NONE</v>
      </c>
      <c r="R266">
        <f>Table1[[#This Row],[Ship Date]]-Table1[[#This Row],[Order Date]]</f>
        <v>6</v>
      </c>
    </row>
    <row r="267" spans="1:18" x14ac:dyDescent="0.25">
      <c r="A267" s="3" t="s">
        <v>660</v>
      </c>
      <c r="B267" s="2" t="s">
        <v>310</v>
      </c>
      <c r="C267" s="2" t="s">
        <v>445</v>
      </c>
      <c r="D267" s="1" t="s">
        <v>30</v>
      </c>
      <c r="E267" s="1" t="s">
        <v>59</v>
      </c>
      <c r="F267" s="1" t="s">
        <v>38</v>
      </c>
      <c r="G267" s="1" t="s">
        <v>19</v>
      </c>
      <c r="H267" s="1" t="s">
        <v>33</v>
      </c>
      <c r="I267" s="1" t="s">
        <v>153</v>
      </c>
      <c r="J267" s="1">
        <v>18</v>
      </c>
      <c r="K267" s="15">
        <v>13.74</v>
      </c>
      <c r="L267" s="13">
        <v>0.05</v>
      </c>
      <c r="M267" s="10">
        <v>7.69</v>
      </c>
      <c r="N267" s="12">
        <f>(Table1[[#This Row],[Quantity]]*Table1[[#This Row],[Unit Price]])*(1-Table1[[#This Row],[Discount]])</f>
        <v>234.95399999999998</v>
      </c>
      <c r="O267" s="12">
        <f>(Table1[[#This Row],[Unit Price]]-Table1[[#This Row],[Unit Cost]])*Table1[[#This Row],[Quantity]]</f>
        <v>108.89999999999999</v>
      </c>
      <c r="P267" s="17" t="str">
        <f t="shared" si="4"/>
        <v>Standard</v>
      </c>
      <c r="Q267" t="str">
        <f>IF(Table1[[#This Row],[Discount]]&gt;=15%,"HIGH",IF(Table1[[#This Row],[Discount]]&gt;=55,"MEDIUM","NONE"))</f>
        <v>NONE</v>
      </c>
      <c r="R267">
        <f>Table1[[#This Row],[Ship Date]]-Table1[[#This Row],[Order Date]]</f>
        <v>2</v>
      </c>
    </row>
    <row r="268" spans="1:18" x14ac:dyDescent="0.25">
      <c r="A268" s="3" t="s">
        <v>661</v>
      </c>
      <c r="B268" s="2" t="s">
        <v>662</v>
      </c>
      <c r="C268" s="2" t="s">
        <v>663</v>
      </c>
      <c r="D268" s="1" t="s">
        <v>30</v>
      </c>
      <c r="E268" s="1" t="s">
        <v>66</v>
      </c>
      <c r="F268" s="1" t="s">
        <v>38</v>
      </c>
      <c r="G268" s="1" t="s">
        <v>26</v>
      </c>
      <c r="H268" s="1" t="s">
        <v>45</v>
      </c>
      <c r="I268" s="1" t="s">
        <v>46</v>
      </c>
      <c r="J268" s="1">
        <v>20</v>
      </c>
      <c r="K268" s="15">
        <v>209.08</v>
      </c>
      <c r="L268" s="13">
        <v>0</v>
      </c>
      <c r="M268" s="10">
        <v>132.81</v>
      </c>
      <c r="N268" s="12">
        <f>(Table1[[#This Row],[Quantity]]*Table1[[#This Row],[Unit Price]])*(1-Table1[[#This Row],[Discount]])</f>
        <v>4181.6000000000004</v>
      </c>
      <c r="O268" s="12">
        <f>(Table1[[#This Row],[Unit Price]]-Table1[[#This Row],[Unit Cost]])*Table1[[#This Row],[Quantity]]</f>
        <v>1525.4</v>
      </c>
      <c r="P268" s="17" t="str">
        <f t="shared" si="4"/>
        <v>Bulk</v>
      </c>
      <c r="Q268" t="str">
        <f>IF(Table1[[#This Row],[Discount]]&gt;=15%,"HIGH",IF(Table1[[#This Row],[Discount]]&gt;=55,"MEDIUM","NONE"))</f>
        <v>NONE</v>
      </c>
      <c r="R268">
        <f>Table1[[#This Row],[Ship Date]]-Table1[[#This Row],[Order Date]]</f>
        <v>3</v>
      </c>
    </row>
    <row r="269" spans="1:18" x14ac:dyDescent="0.25">
      <c r="A269" s="3" t="s">
        <v>664</v>
      </c>
      <c r="B269" s="2" t="s">
        <v>665</v>
      </c>
      <c r="C269" s="2" t="s">
        <v>665</v>
      </c>
      <c r="D269" s="1" t="s">
        <v>24</v>
      </c>
      <c r="E269" s="1" t="s">
        <v>59</v>
      </c>
      <c r="F269" s="1" t="s">
        <v>38</v>
      </c>
      <c r="G269" s="1" t="s">
        <v>67</v>
      </c>
      <c r="H269" s="1" t="s">
        <v>20</v>
      </c>
      <c r="I269" s="1" t="s">
        <v>113</v>
      </c>
      <c r="J269" s="1">
        <v>12</v>
      </c>
      <c r="K269" s="15">
        <v>1154.6400000000001</v>
      </c>
      <c r="L269" s="13">
        <v>0</v>
      </c>
      <c r="M269" s="10">
        <v>838.42</v>
      </c>
      <c r="N269" s="12">
        <f>(Table1[[#This Row],[Quantity]]*Table1[[#This Row],[Unit Price]])*(1-Table1[[#This Row],[Discount]])</f>
        <v>13855.68</v>
      </c>
      <c r="O269" s="12">
        <f>(Table1[[#This Row],[Unit Price]]-Table1[[#This Row],[Unit Cost]])*Table1[[#This Row],[Quantity]]</f>
        <v>3794.6400000000017</v>
      </c>
      <c r="P269" s="17" t="str">
        <f t="shared" si="4"/>
        <v>Bulk</v>
      </c>
      <c r="Q269" t="str">
        <f>IF(Table1[[#This Row],[Discount]]&gt;=15%,"HIGH",IF(Table1[[#This Row],[Discount]]&gt;=55,"MEDIUM","NONE"))</f>
        <v>NONE</v>
      </c>
      <c r="R269">
        <f>Table1[[#This Row],[Ship Date]]-Table1[[#This Row],[Order Date]]</f>
        <v>0</v>
      </c>
    </row>
    <row r="270" spans="1:18" x14ac:dyDescent="0.25">
      <c r="A270" s="3" t="s">
        <v>666</v>
      </c>
      <c r="B270" s="2" t="s">
        <v>552</v>
      </c>
      <c r="C270" s="2" t="s">
        <v>552</v>
      </c>
      <c r="D270" s="1" t="s">
        <v>24</v>
      </c>
      <c r="E270" s="1" t="s">
        <v>78</v>
      </c>
      <c r="F270" s="1" t="s">
        <v>25</v>
      </c>
      <c r="G270" s="1" t="s">
        <v>97</v>
      </c>
      <c r="H270" s="1" t="s">
        <v>33</v>
      </c>
      <c r="I270" s="1" t="s">
        <v>39</v>
      </c>
      <c r="J270" s="1">
        <v>16</v>
      </c>
      <c r="K270" s="15">
        <v>26.67</v>
      </c>
      <c r="L270" s="13">
        <v>0</v>
      </c>
      <c r="M270" s="10">
        <v>19.38</v>
      </c>
      <c r="N270" s="12">
        <f>(Table1[[#This Row],[Quantity]]*Table1[[#This Row],[Unit Price]])*(1-Table1[[#This Row],[Discount]])</f>
        <v>426.72</v>
      </c>
      <c r="O270" s="12">
        <f>(Table1[[#This Row],[Unit Price]]-Table1[[#This Row],[Unit Cost]])*Table1[[#This Row],[Quantity]]</f>
        <v>116.64000000000004</v>
      </c>
      <c r="P270" s="17" t="str">
        <f t="shared" si="4"/>
        <v>Bulk</v>
      </c>
      <c r="Q270" t="str">
        <f>IF(Table1[[#This Row],[Discount]]&gt;=15%,"HIGH",IF(Table1[[#This Row],[Discount]]&gt;=55,"MEDIUM","NONE"))</f>
        <v>NONE</v>
      </c>
      <c r="R270">
        <f>Table1[[#This Row],[Ship Date]]-Table1[[#This Row],[Order Date]]</f>
        <v>0</v>
      </c>
    </row>
    <row r="271" spans="1:18" x14ac:dyDescent="0.25">
      <c r="A271" s="3" t="s">
        <v>667</v>
      </c>
      <c r="B271" s="2" t="s">
        <v>668</v>
      </c>
      <c r="C271" s="2" t="s">
        <v>293</v>
      </c>
      <c r="D271" s="1" t="s">
        <v>16</v>
      </c>
      <c r="E271" s="1" t="s">
        <v>214</v>
      </c>
      <c r="F271" s="1" t="s">
        <v>18</v>
      </c>
      <c r="G271" s="1" t="s">
        <v>50</v>
      </c>
      <c r="H271" s="1" t="s">
        <v>45</v>
      </c>
      <c r="I271" s="1" t="s">
        <v>143</v>
      </c>
      <c r="J271" s="1">
        <v>24</v>
      </c>
      <c r="K271" s="15">
        <v>61.33</v>
      </c>
      <c r="L271" s="13">
        <v>0.15</v>
      </c>
      <c r="M271" s="10">
        <v>48.28</v>
      </c>
      <c r="N271" s="12">
        <f>(Table1[[#This Row],[Quantity]]*Table1[[#This Row],[Unit Price]])*(1-Table1[[#This Row],[Discount]])</f>
        <v>1251.1320000000001</v>
      </c>
      <c r="O271" s="12">
        <f>(Table1[[#This Row],[Unit Price]]-Table1[[#This Row],[Unit Cost]])*Table1[[#This Row],[Quantity]]</f>
        <v>313.19999999999993</v>
      </c>
      <c r="P271" s="17" t="str">
        <f t="shared" si="4"/>
        <v>Bulk</v>
      </c>
      <c r="Q271" t="str">
        <f>IF(Table1[[#This Row],[Discount]]&gt;=15%,"HIGH",IF(Table1[[#This Row],[Discount]]&gt;=55,"MEDIUM","NONE"))</f>
        <v>HIGH</v>
      </c>
      <c r="R271">
        <f>Table1[[#This Row],[Ship Date]]-Table1[[#This Row],[Order Date]]</f>
        <v>7</v>
      </c>
    </row>
    <row r="272" spans="1:18" x14ac:dyDescent="0.25">
      <c r="A272" s="3" t="s">
        <v>669</v>
      </c>
      <c r="B272" s="2" t="s">
        <v>670</v>
      </c>
      <c r="C272" s="2" t="s">
        <v>237</v>
      </c>
      <c r="D272" s="1" t="s">
        <v>30</v>
      </c>
      <c r="E272" s="1" t="s">
        <v>109</v>
      </c>
      <c r="F272" s="1" t="s">
        <v>25</v>
      </c>
      <c r="G272" s="1" t="s">
        <v>67</v>
      </c>
      <c r="H272" s="1" t="s">
        <v>33</v>
      </c>
      <c r="I272" s="1" t="s">
        <v>153</v>
      </c>
      <c r="J272" s="1">
        <v>5</v>
      </c>
      <c r="K272" s="15">
        <v>14.58</v>
      </c>
      <c r="L272" s="13">
        <v>0</v>
      </c>
      <c r="M272" s="10">
        <v>8.89</v>
      </c>
      <c r="N272" s="12">
        <f>(Table1[[#This Row],[Quantity]]*Table1[[#This Row],[Unit Price]])*(1-Table1[[#This Row],[Discount]])</f>
        <v>72.900000000000006</v>
      </c>
      <c r="O272" s="12">
        <f>(Table1[[#This Row],[Unit Price]]-Table1[[#This Row],[Unit Cost]])*Table1[[#This Row],[Quantity]]</f>
        <v>28.449999999999996</v>
      </c>
      <c r="P272" s="17" t="str">
        <f t="shared" si="4"/>
        <v>Bulk</v>
      </c>
      <c r="Q272" t="str">
        <f>IF(Table1[[#This Row],[Discount]]&gt;=15%,"HIGH",IF(Table1[[#This Row],[Discount]]&gt;=55,"MEDIUM","NONE"))</f>
        <v>NONE</v>
      </c>
      <c r="R272">
        <f>Table1[[#This Row],[Ship Date]]-Table1[[#This Row],[Order Date]]</f>
        <v>2</v>
      </c>
    </row>
    <row r="273" spans="1:18" x14ac:dyDescent="0.25">
      <c r="A273" s="3" t="s">
        <v>671</v>
      </c>
      <c r="B273" s="2" t="s">
        <v>589</v>
      </c>
      <c r="C273" s="2" t="s">
        <v>672</v>
      </c>
      <c r="D273" s="1" t="s">
        <v>30</v>
      </c>
      <c r="E273" s="1" t="s">
        <v>75</v>
      </c>
      <c r="F273" s="1" t="s">
        <v>18</v>
      </c>
      <c r="G273" s="1" t="s">
        <v>26</v>
      </c>
      <c r="H273" s="1" t="s">
        <v>20</v>
      </c>
      <c r="I273" s="1" t="s">
        <v>151</v>
      </c>
      <c r="J273" s="1">
        <v>7</v>
      </c>
      <c r="K273" s="15">
        <v>336.97</v>
      </c>
      <c r="L273" s="13">
        <v>0</v>
      </c>
      <c r="M273" s="10">
        <v>214.86</v>
      </c>
      <c r="N273" s="12">
        <f>(Table1[[#This Row],[Quantity]]*Table1[[#This Row],[Unit Price]])*(1-Table1[[#This Row],[Discount]])</f>
        <v>2358.79</v>
      </c>
      <c r="O273" s="12">
        <f>(Table1[[#This Row],[Unit Price]]-Table1[[#This Row],[Unit Cost]])*Table1[[#This Row],[Quantity]]</f>
        <v>854.7700000000001</v>
      </c>
      <c r="P273" s="17" t="str">
        <f t="shared" si="4"/>
        <v>Standard</v>
      </c>
      <c r="Q273" t="str">
        <f>IF(Table1[[#This Row],[Discount]]&gt;=15%,"HIGH",IF(Table1[[#This Row],[Discount]]&gt;=55,"MEDIUM","NONE"))</f>
        <v>NONE</v>
      </c>
      <c r="R273">
        <f>Table1[[#This Row],[Ship Date]]-Table1[[#This Row],[Order Date]]</f>
        <v>2</v>
      </c>
    </row>
    <row r="274" spans="1:18" x14ac:dyDescent="0.25">
      <c r="A274" s="3" t="s">
        <v>673</v>
      </c>
      <c r="B274" s="2" t="s">
        <v>674</v>
      </c>
      <c r="C274" s="2" t="s">
        <v>487</v>
      </c>
      <c r="D274" s="1" t="s">
        <v>30</v>
      </c>
      <c r="E274" s="1" t="s">
        <v>78</v>
      </c>
      <c r="F274" s="1" t="s">
        <v>60</v>
      </c>
      <c r="G274" s="1" t="s">
        <v>97</v>
      </c>
      <c r="H274" s="1" t="s">
        <v>61</v>
      </c>
      <c r="I274" s="1" t="s">
        <v>62</v>
      </c>
      <c r="J274" s="1">
        <v>13</v>
      </c>
      <c r="K274" s="15">
        <v>38.1</v>
      </c>
      <c r="L274" s="13">
        <v>0.05</v>
      </c>
      <c r="M274" s="10">
        <v>21.92</v>
      </c>
      <c r="N274" s="12">
        <f>(Table1[[#This Row],[Quantity]]*Table1[[#This Row],[Unit Price]])*(1-Table1[[#This Row],[Discount]])</f>
        <v>470.53499999999997</v>
      </c>
      <c r="O274" s="12">
        <f>(Table1[[#This Row],[Unit Price]]-Table1[[#This Row],[Unit Cost]])*Table1[[#This Row],[Quantity]]</f>
        <v>210.34</v>
      </c>
      <c r="P274" s="17" t="str">
        <f t="shared" si="4"/>
        <v>Standard</v>
      </c>
      <c r="Q274" t="str">
        <f>IF(Table1[[#This Row],[Discount]]&gt;=15%,"HIGH",IF(Table1[[#This Row],[Discount]]&gt;=55,"MEDIUM","NONE"))</f>
        <v>NONE</v>
      </c>
      <c r="R274">
        <f>Table1[[#This Row],[Ship Date]]-Table1[[#This Row],[Order Date]]</f>
        <v>2</v>
      </c>
    </row>
    <row r="275" spans="1:18" x14ac:dyDescent="0.25">
      <c r="A275" s="3" t="s">
        <v>675</v>
      </c>
      <c r="B275" s="2" t="s">
        <v>676</v>
      </c>
      <c r="C275" s="2" t="s">
        <v>104</v>
      </c>
      <c r="D275" s="1" t="s">
        <v>30</v>
      </c>
      <c r="E275" s="1" t="s">
        <v>214</v>
      </c>
      <c r="F275" s="1" t="s">
        <v>43</v>
      </c>
      <c r="G275" s="1" t="s">
        <v>26</v>
      </c>
      <c r="H275" s="1" t="s">
        <v>61</v>
      </c>
      <c r="I275" s="1" t="s">
        <v>106</v>
      </c>
      <c r="J275" s="1">
        <v>9</v>
      </c>
      <c r="K275" s="15">
        <v>86.13</v>
      </c>
      <c r="L275" s="13">
        <v>0</v>
      </c>
      <c r="M275" s="10">
        <v>54.73</v>
      </c>
      <c r="N275" s="12">
        <f>(Table1[[#This Row],[Quantity]]*Table1[[#This Row],[Unit Price]])*(1-Table1[[#This Row],[Discount]])</f>
        <v>775.17</v>
      </c>
      <c r="O275" s="12">
        <f>(Table1[[#This Row],[Unit Price]]-Table1[[#This Row],[Unit Cost]])*Table1[[#This Row],[Quantity]]</f>
        <v>282.59999999999997</v>
      </c>
      <c r="P275" s="17" t="str">
        <f t="shared" si="4"/>
        <v>Bulk</v>
      </c>
      <c r="Q275" t="str">
        <f>IF(Table1[[#This Row],[Discount]]&gt;=15%,"HIGH",IF(Table1[[#This Row],[Discount]]&gt;=55,"MEDIUM","NONE"))</f>
        <v>NONE</v>
      </c>
      <c r="R275">
        <f>Table1[[#This Row],[Ship Date]]-Table1[[#This Row],[Order Date]]</f>
        <v>2</v>
      </c>
    </row>
    <row r="276" spans="1:18" x14ac:dyDescent="0.25">
      <c r="A276" s="3" t="s">
        <v>677</v>
      </c>
      <c r="B276" s="2" t="s">
        <v>638</v>
      </c>
      <c r="C276" s="2" t="s">
        <v>638</v>
      </c>
      <c r="D276" s="1" t="s">
        <v>24</v>
      </c>
      <c r="E276" s="1" t="s">
        <v>112</v>
      </c>
      <c r="F276" s="1" t="s">
        <v>38</v>
      </c>
      <c r="G276" s="1" t="s">
        <v>82</v>
      </c>
      <c r="H276" s="1" t="s">
        <v>20</v>
      </c>
      <c r="I276" s="1" t="s">
        <v>134</v>
      </c>
      <c r="J276" s="1">
        <v>1</v>
      </c>
      <c r="K276" s="15">
        <v>546.02</v>
      </c>
      <c r="L276" s="13">
        <v>0.15</v>
      </c>
      <c r="M276" s="10">
        <v>322.83</v>
      </c>
      <c r="N276" s="12">
        <f>(Table1[[#This Row],[Quantity]]*Table1[[#This Row],[Unit Price]])*(1-Table1[[#This Row],[Discount]])</f>
        <v>464.11699999999996</v>
      </c>
      <c r="O276" s="12">
        <f>(Table1[[#This Row],[Unit Price]]-Table1[[#This Row],[Unit Cost]])*Table1[[#This Row],[Quantity]]</f>
        <v>223.19</v>
      </c>
      <c r="P276" s="17" t="str">
        <f t="shared" si="4"/>
        <v>Standard</v>
      </c>
      <c r="Q276" t="str">
        <f>IF(Table1[[#This Row],[Discount]]&gt;=15%,"HIGH",IF(Table1[[#This Row],[Discount]]&gt;=55,"MEDIUM","NONE"))</f>
        <v>HIGH</v>
      </c>
      <c r="R276">
        <f>Table1[[#This Row],[Ship Date]]-Table1[[#This Row],[Order Date]]</f>
        <v>0</v>
      </c>
    </row>
    <row r="277" spans="1:18" x14ac:dyDescent="0.25">
      <c r="A277" s="3" t="s">
        <v>678</v>
      </c>
      <c r="B277" s="2" t="s">
        <v>679</v>
      </c>
      <c r="C277" s="2" t="s">
        <v>679</v>
      </c>
      <c r="D277" s="1" t="s">
        <v>24</v>
      </c>
      <c r="E277" s="1" t="s">
        <v>87</v>
      </c>
      <c r="F277" s="1" t="s">
        <v>25</v>
      </c>
      <c r="G277" s="1" t="s">
        <v>97</v>
      </c>
      <c r="H277" s="1" t="s">
        <v>20</v>
      </c>
      <c r="I277" s="1" t="s">
        <v>134</v>
      </c>
      <c r="J277" s="1">
        <v>18</v>
      </c>
      <c r="K277" s="15">
        <v>880.34</v>
      </c>
      <c r="L277" s="13">
        <v>0.15</v>
      </c>
      <c r="M277" s="10">
        <v>603.05999999999995</v>
      </c>
      <c r="N277" s="12">
        <f>(Table1[[#This Row],[Quantity]]*Table1[[#This Row],[Unit Price]])*(1-Table1[[#This Row],[Discount]])</f>
        <v>13469.202000000001</v>
      </c>
      <c r="O277" s="12">
        <f>(Table1[[#This Row],[Unit Price]]-Table1[[#This Row],[Unit Cost]])*Table1[[#This Row],[Quantity]]</f>
        <v>4991.0400000000018</v>
      </c>
      <c r="P277" s="17" t="str">
        <f t="shared" si="4"/>
        <v>Standard</v>
      </c>
      <c r="Q277" t="str">
        <f>IF(Table1[[#This Row],[Discount]]&gt;=15%,"HIGH",IF(Table1[[#This Row],[Discount]]&gt;=55,"MEDIUM","NONE"))</f>
        <v>HIGH</v>
      </c>
      <c r="R277">
        <f>Table1[[#This Row],[Ship Date]]-Table1[[#This Row],[Order Date]]</f>
        <v>0</v>
      </c>
    </row>
    <row r="278" spans="1:18" x14ac:dyDescent="0.25">
      <c r="A278" s="3" t="s">
        <v>680</v>
      </c>
      <c r="B278" s="2" t="s">
        <v>375</v>
      </c>
      <c r="C278" s="2" t="s">
        <v>681</v>
      </c>
      <c r="D278" s="1" t="s">
        <v>16</v>
      </c>
      <c r="E278" s="1" t="s">
        <v>109</v>
      </c>
      <c r="F278" s="1" t="s">
        <v>60</v>
      </c>
      <c r="G278" s="1" t="s">
        <v>82</v>
      </c>
      <c r="H278" s="1" t="s">
        <v>20</v>
      </c>
      <c r="I278" s="1" t="s">
        <v>21</v>
      </c>
      <c r="J278" s="1">
        <v>2</v>
      </c>
      <c r="K278" s="15">
        <v>464.95</v>
      </c>
      <c r="L278" s="13">
        <v>0.05</v>
      </c>
      <c r="M278" s="10">
        <v>265.91000000000003</v>
      </c>
      <c r="N278" s="12">
        <f>(Table1[[#This Row],[Quantity]]*Table1[[#This Row],[Unit Price]])*(1-Table1[[#This Row],[Discount]])</f>
        <v>883.40499999999997</v>
      </c>
      <c r="O278" s="12">
        <f>(Table1[[#This Row],[Unit Price]]-Table1[[#This Row],[Unit Cost]])*Table1[[#This Row],[Quantity]]</f>
        <v>398.07999999999993</v>
      </c>
      <c r="P278" s="17" t="str">
        <f t="shared" si="4"/>
        <v>Bulk</v>
      </c>
      <c r="Q278" t="str">
        <f>IF(Table1[[#This Row],[Discount]]&gt;=15%,"HIGH",IF(Table1[[#This Row],[Discount]]&gt;=55,"MEDIUM","NONE"))</f>
        <v>NONE</v>
      </c>
      <c r="R278">
        <f>Table1[[#This Row],[Ship Date]]-Table1[[#This Row],[Order Date]]</f>
        <v>7</v>
      </c>
    </row>
    <row r="279" spans="1:18" x14ac:dyDescent="0.25">
      <c r="A279" s="3" t="s">
        <v>682</v>
      </c>
      <c r="B279" s="2" t="s">
        <v>36</v>
      </c>
      <c r="C279" s="2" t="s">
        <v>683</v>
      </c>
      <c r="D279" s="1" t="s">
        <v>30</v>
      </c>
      <c r="E279" s="1" t="s">
        <v>214</v>
      </c>
      <c r="F279" s="1" t="s">
        <v>25</v>
      </c>
      <c r="G279" s="1" t="s">
        <v>67</v>
      </c>
      <c r="H279" s="1" t="s">
        <v>20</v>
      </c>
      <c r="I279" s="1" t="s">
        <v>113</v>
      </c>
      <c r="J279" s="1">
        <v>4</v>
      </c>
      <c r="K279" s="15">
        <v>404.61</v>
      </c>
      <c r="L279" s="13">
        <v>0.05</v>
      </c>
      <c r="M279" s="10">
        <v>270.17</v>
      </c>
      <c r="N279" s="12">
        <f>(Table1[[#This Row],[Quantity]]*Table1[[#This Row],[Unit Price]])*(1-Table1[[#This Row],[Discount]])</f>
        <v>1537.518</v>
      </c>
      <c r="O279" s="12">
        <f>(Table1[[#This Row],[Unit Price]]-Table1[[#This Row],[Unit Cost]])*Table1[[#This Row],[Quantity]]</f>
        <v>537.76</v>
      </c>
      <c r="P279" s="17" t="str">
        <f t="shared" si="4"/>
        <v>Standard</v>
      </c>
      <c r="Q279" t="str">
        <f>IF(Table1[[#This Row],[Discount]]&gt;=15%,"HIGH",IF(Table1[[#This Row],[Discount]]&gt;=55,"MEDIUM","NONE"))</f>
        <v>NONE</v>
      </c>
      <c r="R279">
        <f>Table1[[#This Row],[Ship Date]]-Table1[[#This Row],[Order Date]]</f>
        <v>2</v>
      </c>
    </row>
    <row r="280" spans="1:18" x14ac:dyDescent="0.25">
      <c r="A280" s="3" t="s">
        <v>684</v>
      </c>
      <c r="B280" s="2" t="s">
        <v>685</v>
      </c>
      <c r="C280" s="2" t="s">
        <v>496</v>
      </c>
      <c r="D280" s="1" t="s">
        <v>16</v>
      </c>
      <c r="E280" s="1" t="s">
        <v>55</v>
      </c>
      <c r="F280" s="1" t="s">
        <v>18</v>
      </c>
      <c r="G280" s="1" t="s">
        <v>32</v>
      </c>
      <c r="H280" s="1" t="s">
        <v>61</v>
      </c>
      <c r="I280" s="1" t="s">
        <v>88</v>
      </c>
      <c r="J280" s="1">
        <v>15</v>
      </c>
      <c r="K280" s="15">
        <v>13.57</v>
      </c>
      <c r="L280" s="13">
        <v>0.05</v>
      </c>
      <c r="M280" s="10">
        <v>9.0399999999999991</v>
      </c>
      <c r="N280" s="12">
        <f>(Table1[[#This Row],[Quantity]]*Table1[[#This Row],[Unit Price]])*(1-Table1[[#This Row],[Discount]])</f>
        <v>193.3725</v>
      </c>
      <c r="O280" s="12">
        <f>(Table1[[#This Row],[Unit Price]]-Table1[[#This Row],[Unit Cost]])*Table1[[#This Row],[Quantity]]</f>
        <v>67.950000000000017</v>
      </c>
      <c r="P280" s="17" t="str">
        <f t="shared" si="4"/>
        <v>Standard</v>
      </c>
      <c r="Q280" t="str">
        <f>IF(Table1[[#This Row],[Discount]]&gt;=15%,"HIGH",IF(Table1[[#This Row],[Discount]]&gt;=55,"MEDIUM","NONE"))</f>
        <v>NONE</v>
      </c>
      <c r="R280">
        <f>Table1[[#This Row],[Ship Date]]-Table1[[#This Row],[Order Date]]</f>
        <v>5</v>
      </c>
    </row>
    <row r="281" spans="1:18" x14ac:dyDescent="0.25">
      <c r="A281" s="3" t="s">
        <v>686</v>
      </c>
      <c r="B281" s="2" t="s">
        <v>629</v>
      </c>
      <c r="C281" s="2" t="s">
        <v>629</v>
      </c>
      <c r="D281" s="1" t="s">
        <v>24</v>
      </c>
      <c r="E281" s="1" t="s">
        <v>49</v>
      </c>
      <c r="F281" s="1" t="s">
        <v>43</v>
      </c>
      <c r="G281" s="1" t="s">
        <v>32</v>
      </c>
      <c r="H281" s="1" t="s">
        <v>20</v>
      </c>
      <c r="I281" s="1" t="s">
        <v>113</v>
      </c>
      <c r="J281" s="1">
        <v>14</v>
      </c>
      <c r="K281" s="15">
        <v>1166.31</v>
      </c>
      <c r="L281" s="13">
        <v>0.1</v>
      </c>
      <c r="M281" s="10">
        <v>707.81</v>
      </c>
      <c r="N281" s="12">
        <f>(Table1[[#This Row],[Quantity]]*Table1[[#This Row],[Unit Price]])*(1-Table1[[#This Row],[Discount]])</f>
        <v>14695.506000000001</v>
      </c>
      <c r="O281" s="12">
        <f>(Table1[[#This Row],[Unit Price]]-Table1[[#This Row],[Unit Cost]])*Table1[[#This Row],[Quantity]]</f>
        <v>6419</v>
      </c>
      <c r="P281" s="17" t="str">
        <f t="shared" si="4"/>
        <v>Bulk</v>
      </c>
      <c r="Q281" t="str">
        <f>IF(Table1[[#This Row],[Discount]]&gt;=15%,"HIGH",IF(Table1[[#This Row],[Discount]]&gt;=55,"MEDIUM","NONE"))</f>
        <v>NONE</v>
      </c>
      <c r="R281">
        <f>Table1[[#This Row],[Ship Date]]-Table1[[#This Row],[Order Date]]</f>
        <v>0</v>
      </c>
    </row>
    <row r="282" spans="1:18" x14ac:dyDescent="0.25">
      <c r="A282" s="3" t="s">
        <v>687</v>
      </c>
      <c r="B282" s="2" t="s">
        <v>688</v>
      </c>
      <c r="C282" s="2" t="s">
        <v>689</v>
      </c>
      <c r="D282" s="1" t="s">
        <v>30</v>
      </c>
      <c r="E282" s="1" t="s">
        <v>109</v>
      </c>
      <c r="F282" s="1" t="s">
        <v>60</v>
      </c>
      <c r="G282" s="1" t="s">
        <v>19</v>
      </c>
      <c r="H282" s="1" t="s">
        <v>61</v>
      </c>
      <c r="I282" s="1" t="s">
        <v>72</v>
      </c>
      <c r="J282" s="1">
        <v>10</v>
      </c>
      <c r="K282" s="15">
        <v>16.32</v>
      </c>
      <c r="L282" s="13">
        <v>0.2</v>
      </c>
      <c r="M282" s="10">
        <v>11.89</v>
      </c>
      <c r="N282" s="12">
        <f>(Table1[[#This Row],[Quantity]]*Table1[[#This Row],[Unit Price]])*(1-Table1[[#This Row],[Discount]])</f>
        <v>130.56</v>
      </c>
      <c r="O282" s="12">
        <f>(Table1[[#This Row],[Unit Price]]-Table1[[#This Row],[Unit Cost]])*Table1[[#This Row],[Quantity]]</f>
        <v>44.3</v>
      </c>
      <c r="P282" s="17" t="str">
        <f t="shared" si="4"/>
        <v>Bulk</v>
      </c>
      <c r="Q282" t="str">
        <f>IF(Table1[[#This Row],[Discount]]&gt;=15%,"HIGH",IF(Table1[[#This Row],[Discount]]&gt;=55,"MEDIUM","NONE"))</f>
        <v>HIGH</v>
      </c>
      <c r="R282">
        <f>Table1[[#This Row],[Ship Date]]-Table1[[#This Row],[Order Date]]</f>
        <v>2</v>
      </c>
    </row>
    <row r="283" spans="1:18" x14ac:dyDescent="0.25">
      <c r="A283" s="3" t="s">
        <v>690</v>
      </c>
      <c r="B283" s="2" t="s">
        <v>257</v>
      </c>
      <c r="C283" s="2" t="s">
        <v>691</v>
      </c>
      <c r="D283" s="1" t="s">
        <v>16</v>
      </c>
      <c r="E283" s="1" t="s">
        <v>87</v>
      </c>
      <c r="F283" s="1" t="s">
        <v>25</v>
      </c>
      <c r="G283" s="1" t="s">
        <v>50</v>
      </c>
      <c r="H283" s="1" t="s">
        <v>45</v>
      </c>
      <c r="I283" s="1" t="s">
        <v>68</v>
      </c>
      <c r="J283" s="1">
        <v>14</v>
      </c>
      <c r="K283" s="15">
        <v>117.99</v>
      </c>
      <c r="L283" s="13">
        <v>0.15</v>
      </c>
      <c r="M283" s="10">
        <v>77.739999999999995</v>
      </c>
      <c r="N283" s="12">
        <f>(Table1[[#This Row],[Quantity]]*Table1[[#This Row],[Unit Price]])*(1-Table1[[#This Row],[Discount]])</f>
        <v>1404.0809999999999</v>
      </c>
      <c r="O283" s="12">
        <f>(Table1[[#This Row],[Unit Price]]-Table1[[#This Row],[Unit Cost]])*Table1[[#This Row],[Quantity]]</f>
        <v>563.5</v>
      </c>
      <c r="P283" s="17" t="str">
        <f t="shared" si="4"/>
        <v>Standard</v>
      </c>
      <c r="Q283" t="str">
        <f>IF(Table1[[#This Row],[Discount]]&gt;=15%,"HIGH",IF(Table1[[#This Row],[Discount]]&gt;=55,"MEDIUM","NONE"))</f>
        <v>HIGH</v>
      </c>
      <c r="R283">
        <f>Table1[[#This Row],[Ship Date]]-Table1[[#This Row],[Order Date]]</f>
        <v>5</v>
      </c>
    </row>
    <row r="284" spans="1:18" x14ac:dyDescent="0.25">
      <c r="A284" s="3" t="s">
        <v>692</v>
      </c>
      <c r="B284" s="2" t="s">
        <v>693</v>
      </c>
      <c r="C284" s="2" t="s">
        <v>693</v>
      </c>
      <c r="D284" s="1" t="s">
        <v>24</v>
      </c>
      <c r="E284" s="1" t="s">
        <v>122</v>
      </c>
      <c r="F284" s="1" t="s">
        <v>60</v>
      </c>
      <c r="G284" s="1" t="s">
        <v>97</v>
      </c>
      <c r="H284" s="1" t="s">
        <v>20</v>
      </c>
      <c r="I284" s="1" t="s">
        <v>21</v>
      </c>
      <c r="J284" s="1">
        <v>11</v>
      </c>
      <c r="K284" s="15">
        <v>1035.1199999999999</v>
      </c>
      <c r="L284" s="13">
        <v>0.1</v>
      </c>
      <c r="M284" s="10">
        <v>687.88</v>
      </c>
      <c r="N284" s="12">
        <f>(Table1[[#This Row],[Quantity]]*Table1[[#This Row],[Unit Price]])*(1-Table1[[#This Row],[Discount]])</f>
        <v>10247.688</v>
      </c>
      <c r="O284" s="12">
        <f>(Table1[[#This Row],[Unit Price]]-Table1[[#This Row],[Unit Cost]])*Table1[[#This Row],[Quantity]]</f>
        <v>3819.639999999999</v>
      </c>
      <c r="P284" s="17" t="str">
        <f t="shared" si="4"/>
        <v>Bulk</v>
      </c>
      <c r="Q284" t="str">
        <f>IF(Table1[[#This Row],[Discount]]&gt;=15%,"HIGH",IF(Table1[[#This Row],[Discount]]&gt;=55,"MEDIUM","NONE"))</f>
        <v>NONE</v>
      </c>
      <c r="R284">
        <f>Table1[[#This Row],[Ship Date]]-Table1[[#This Row],[Order Date]]</f>
        <v>0</v>
      </c>
    </row>
    <row r="285" spans="1:18" x14ac:dyDescent="0.25">
      <c r="A285" s="3" t="s">
        <v>694</v>
      </c>
      <c r="B285" s="2" t="s">
        <v>695</v>
      </c>
      <c r="C285" s="2" t="s">
        <v>696</v>
      </c>
      <c r="D285" s="1" t="s">
        <v>16</v>
      </c>
      <c r="E285" s="1" t="s">
        <v>109</v>
      </c>
      <c r="F285" s="1" t="s">
        <v>25</v>
      </c>
      <c r="G285" s="1" t="s">
        <v>67</v>
      </c>
      <c r="H285" s="1" t="s">
        <v>61</v>
      </c>
      <c r="I285" s="1" t="s">
        <v>88</v>
      </c>
      <c r="J285" s="1">
        <v>19</v>
      </c>
      <c r="K285" s="15">
        <v>72.36</v>
      </c>
      <c r="L285" s="13">
        <v>0.2</v>
      </c>
      <c r="M285" s="10">
        <v>44.97</v>
      </c>
      <c r="N285" s="12">
        <f>(Table1[[#This Row],[Quantity]]*Table1[[#This Row],[Unit Price]])*(1-Table1[[#This Row],[Discount]])</f>
        <v>1099.8720000000001</v>
      </c>
      <c r="O285" s="12">
        <f>(Table1[[#This Row],[Unit Price]]-Table1[[#This Row],[Unit Cost]])*Table1[[#This Row],[Quantity]]</f>
        <v>520.41</v>
      </c>
      <c r="P285" s="17" t="str">
        <f t="shared" si="4"/>
        <v>Bulk</v>
      </c>
      <c r="Q285" t="str">
        <f>IF(Table1[[#This Row],[Discount]]&gt;=15%,"HIGH",IF(Table1[[#This Row],[Discount]]&gt;=55,"MEDIUM","NONE"))</f>
        <v>HIGH</v>
      </c>
      <c r="R285">
        <f>Table1[[#This Row],[Ship Date]]-Table1[[#This Row],[Order Date]]</f>
        <v>6</v>
      </c>
    </row>
    <row r="286" spans="1:18" x14ac:dyDescent="0.25">
      <c r="A286" s="3" t="s">
        <v>697</v>
      </c>
      <c r="B286" s="2" t="s">
        <v>284</v>
      </c>
      <c r="C286" s="2" t="s">
        <v>208</v>
      </c>
      <c r="D286" s="1" t="s">
        <v>16</v>
      </c>
      <c r="E286" s="1" t="s">
        <v>112</v>
      </c>
      <c r="F286" s="1" t="s">
        <v>38</v>
      </c>
      <c r="G286" s="1" t="s">
        <v>82</v>
      </c>
      <c r="H286" s="1" t="s">
        <v>61</v>
      </c>
      <c r="I286" s="1" t="s">
        <v>62</v>
      </c>
      <c r="J286" s="1">
        <v>6</v>
      </c>
      <c r="K286" s="15">
        <v>32.03</v>
      </c>
      <c r="L286" s="13">
        <v>0</v>
      </c>
      <c r="M286" s="10">
        <v>22.57</v>
      </c>
      <c r="N286" s="12">
        <f>(Table1[[#This Row],[Quantity]]*Table1[[#This Row],[Unit Price]])*(1-Table1[[#This Row],[Discount]])</f>
        <v>192.18</v>
      </c>
      <c r="O286" s="12">
        <f>(Table1[[#This Row],[Unit Price]]-Table1[[#This Row],[Unit Cost]])*Table1[[#This Row],[Quantity]]</f>
        <v>56.760000000000005</v>
      </c>
      <c r="P286" s="17" t="str">
        <f t="shared" si="4"/>
        <v>Bulk</v>
      </c>
      <c r="Q286" t="str">
        <f>IF(Table1[[#This Row],[Discount]]&gt;=15%,"HIGH",IF(Table1[[#This Row],[Discount]]&gt;=55,"MEDIUM","NONE"))</f>
        <v>NONE</v>
      </c>
      <c r="R286">
        <f>Table1[[#This Row],[Ship Date]]-Table1[[#This Row],[Order Date]]</f>
        <v>7</v>
      </c>
    </row>
    <row r="287" spans="1:18" x14ac:dyDescent="0.25">
      <c r="A287" s="3" t="s">
        <v>698</v>
      </c>
      <c r="B287" s="2" t="s">
        <v>598</v>
      </c>
      <c r="C287" s="2" t="s">
        <v>699</v>
      </c>
      <c r="D287" s="1" t="s">
        <v>30</v>
      </c>
      <c r="E287" s="1" t="s">
        <v>66</v>
      </c>
      <c r="F287" s="1" t="s">
        <v>43</v>
      </c>
      <c r="G287" s="1" t="s">
        <v>44</v>
      </c>
      <c r="H287" s="1" t="s">
        <v>33</v>
      </c>
      <c r="I287" s="1" t="s">
        <v>51</v>
      </c>
      <c r="J287" s="1">
        <v>1</v>
      </c>
      <c r="K287" s="15">
        <v>14.84</v>
      </c>
      <c r="L287" s="13">
        <v>0.2</v>
      </c>
      <c r="M287" s="10">
        <v>9.2899999999999991</v>
      </c>
      <c r="N287" s="12">
        <f>(Table1[[#This Row],[Quantity]]*Table1[[#This Row],[Unit Price]])*(1-Table1[[#This Row],[Discount]])</f>
        <v>11.872</v>
      </c>
      <c r="O287" s="12">
        <f>(Table1[[#This Row],[Unit Price]]-Table1[[#This Row],[Unit Cost]])*Table1[[#This Row],[Quantity]]</f>
        <v>5.5500000000000007</v>
      </c>
      <c r="P287" s="17" t="str">
        <f t="shared" si="4"/>
        <v>Standard</v>
      </c>
      <c r="Q287" t="str">
        <f>IF(Table1[[#This Row],[Discount]]&gt;=15%,"HIGH",IF(Table1[[#This Row],[Discount]]&gt;=55,"MEDIUM","NONE"))</f>
        <v>HIGH</v>
      </c>
      <c r="R287">
        <f>Table1[[#This Row],[Ship Date]]-Table1[[#This Row],[Order Date]]</f>
        <v>3</v>
      </c>
    </row>
    <row r="288" spans="1:18" x14ac:dyDescent="0.25">
      <c r="A288" s="3" t="s">
        <v>700</v>
      </c>
      <c r="B288" s="2" t="s">
        <v>240</v>
      </c>
      <c r="C288" s="2" t="s">
        <v>500</v>
      </c>
      <c r="D288" s="1" t="s">
        <v>30</v>
      </c>
      <c r="E288" s="1" t="s">
        <v>214</v>
      </c>
      <c r="F288" s="1" t="s">
        <v>25</v>
      </c>
      <c r="G288" s="1" t="s">
        <v>82</v>
      </c>
      <c r="H288" s="1" t="s">
        <v>20</v>
      </c>
      <c r="I288" s="1" t="s">
        <v>113</v>
      </c>
      <c r="J288" s="1">
        <v>9</v>
      </c>
      <c r="K288" s="15">
        <v>888.12</v>
      </c>
      <c r="L288" s="13">
        <v>0.1</v>
      </c>
      <c r="M288" s="10">
        <v>631.79999999999995</v>
      </c>
      <c r="N288" s="12">
        <f>(Table1[[#This Row],[Quantity]]*Table1[[#This Row],[Unit Price]])*(1-Table1[[#This Row],[Discount]])</f>
        <v>7193.7719999999999</v>
      </c>
      <c r="O288" s="12">
        <f>(Table1[[#This Row],[Unit Price]]-Table1[[#This Row],[Unit Cost]])*Table1[[#This Row],[Quantity]]</f>
        <v>2306.8800000000006</v>
      </c>
      <c r="P288" s="17" t="str">
        <f t="shared" si="4"/>
        <v>Standard</v>
      </c>
      <c r="Q288" t="str">
        <f>IF(Table1[[#This Row],[Discount]]&gt;=15%,"HIGH",IF(Table1[[#This Row],[Discount]]&gt;=55,"MEDIUM","NONE"))</f>
        <v>NONE</v>
      </c>
      <c r="R288">
        <f>Table1[[#This Row],[Ship Date]]-Table1[[#This Row],[Order Date]]</f>
        <v>3</v>
      </c>
    </row>
    <row r="289" spans="1:18" x14ac:dyDescent="0.25">
      <c r="A289" s="3" t="s">
        <v>701</v>
      </c>
      <c r="B289" s="2" t="s">
        <v>702</v>
      </c>
      <c r="C289" s="2" t="s">
        <v>702</v>
      </c>
      <c r="D289" s="1" t="s">
        <v>24</v>
      </c>
      <c r="E289" s="1" t="s">
        <v>206</v>
      </c>
      <c r="F289" s="1" t="s">
        <v>38</v>
      </c>
      <c r="G289" s="1" t="s">
        <v>26</v>
      </c>
      <c r="H289" s="1" t="s">
        <v>61</v>
      </c>
      <c r="I289" s="1" t="s">
        <v>62</v>
      </c>
      <c r="J289" s="1">
        <v>6</v>
      </c>
      <c r="K289" s="15">
        <v>15.25</v>
      </c>
      <c r="L289" s="13">
        <v>0.15</v>
      </c>
      <c r="M289" s="10">
        <v>10.32</v>
      </c>
      <c r="N289" s="12">
        <f>(Table1[[#This Row],[Quantity]]*Table1[[#This Row],[Unit Price]])*(1-Table1[[#This Row],[Discount]])</f>
        <v>77.774999999999991</v>
      </c>
      <c r="O289" s="12">
        <f>(Table1[[#This Row],[Unit Price]]-Table1[[#This Row],[Unit Cost]])*Table1[[#This Row],[Quantity]]</f>
        <v>29.58</v>
      </c>
      <c r="P289" s="17" t="str">
        <f t="shared" si="4"/>
        <v>Standard</v>
      </c>
      <c r="Q289" t="str">
        <f>IF(Table1[[#This Row],[Discount]]&gt;=15%,"HIGH",IF(Table1[[#This Row],[Discount]]&gt;=55,"MEDIUM","NONE"))</f>
        <v>HIGH</v>
      </c>
      <c r="R289">
        <f>Table1[[#This Row],[Ship Date]]-Table1[[#This Row],[Order Date]]</f>
        <v>0</v>
      </c>
    </row>
    <row r="290" spans="1:18" x14ac:dyDescent="0.25">
      <c r="A290" s="3" t="s">
        <v>703</v>
      </c>
      <c r="B290" s="2" t="s">
        <v>269</v>
      </c>
      <c r="C290" s="2" t="s">
        <v>704</v>
      </c>
      <c r="D290" s="1" t="s">
        <v>30</v>
      </c>
      <c r="E290" s="1" t="s">
        <v>17</v>
      </c>
      <c r="F290" s="1" t="s">
        <v>43</v>
      </c>
      <c r="G290" s="1" t="s">
        <v>26</v>
      </c>
      <c r="H290" s="1" t="s">
        <v>45</v>
      </c>
      <c r="I290" s="1" t="s">
        <v>68</v>
      </c>
      <c r="J290" s="1">
        <v>2</v>
      </c>
      <c r="K290" s="15">
        <v>739.34</v>
      </c>
      <c r="L290" s="13">
        <v>0.15</v>
      </c>
      <c r="M290" s="10">
        <v>443.44</v>
      </c>
      <c r="N290" s="12">
        <f>(Table1[[#This Row],[Quantity]]*Table1[[#This Row],[Unit Price]])*(1-Table1[[#This Row],[Discount]])</f>
        <v>1256.8779999999999</v>
      </c>
      <c r="O290" s="12">
        <f>(Table1[[#This Row],[Unit Price]]-Table1[[#This Row],[Unit Cost]])*Table1[[#This Row],[Quantity]]</f>
        <v>591.80000000000007</v>
      </c>
      <c r="P290" s="17" t="str">
        <f t="shared" si="4"/>
        <v>Standard</v>
      </c>
      <c r="Q290" t="str">
        <f>IF(Table1[[#This Row],[Discount]]&gt;=15%,"HIGH",IF(Table1[[#This Row],[Discount]]&gt;=55,"MEDIUM","NONE"))</f>
        <v>HIGH</v>
      </c>
      <c r="R290">
        <f>Table1[[#This Row],[Ship Date]]-Table1[[#This Row],[Order Date]]</f>
        <v>3</v>
      </c>
    </row>
    <row r="291" spans="1:18" x14ac:dyDescent="0.25">
      <c r="A291" s="3" t="s">
        <v>705</v>
      </c>
      <c r="B291" s="2" t="s">
        <v>706</v>
      </c>
      <c r="C291" s="2" t="s">
        <v>111</v>
      </c>
      <c r="D291" s="1" t="s">
        <v>30</v>
      </c>
      <c r="E291" s="1" t="s">
        <v>17</v>
      </c>
      <c r="F291" s="1" t="s">
        <v>43</v>
      </c>
      <c r="G291" s="1" t="s">
        <v>32</v>
      </c>
      <c r="H291" s="1" t="s">
        <v>61</v>
      </c>
      <c r="I291" s="1" t="s">
        <v>106</v>
      </c>
      <c r="J291" s="1">
        <v>20</v>
      </c>
      <c r="K291" s="15">
        <v>45.69</v>
      </c>
      <c r="L291" s="13">
        <v>0.2</v>
      </c>
      <c r="M291" s="10">
        <v>30.55</v>
      </c>
      <c r="N291" s="12">
        <f>(Table1[[#This Row],[Quantity]]*Table1[[#This Row],[Unit Price]])*(1-Table1[[#This Row],[Discount]])</f>
        <v>731.04</v>
      </c>
      <c r="O291" s="12">
        <f>(Table1[[#This Row],[Unit Price]]-Table1[[#This Row],[Unit Cost]])*Table1[[#This Row],[Quantity]]</f>
        <v>302.79999999999995</v>
      </c>
      <c r="P291" s="17" t="str">
        <f t="shared" si="4"/>
        <v>Standard</v>
      </c>
      <c r="Q291" t="str">
        <f>IF(Table1[[#This Row],[Discount]]&gt;=15%,"HIGH",IF(Table1[[#This Row],[Discount]]&gt;=55,"MEDIUM","NONE"))</f>
        <v>HIGH</v>
      </c>
      <c r="R291">
        <f>Table1[[#This Row],[Ship Date]]-Table1[[#This Row],[Order Date]]</f>
        <v>3</v>
      </c>
    </row>
    <row r="292" spans="1:18" x14ac:dyDescent="0.25">
      <c r="A292" s="3" t="s">
        <v>707</v>
      </c>
      <c r="B292" s="2" t="s">
        <v>708</v>
      </c>
      <c r="C292" s="2" t="s">
        <v>339</v>
      </c>
      <c r="D292" s="1" t="s">
        <v>16</v>
      </c>
      <c r="E292" s="1" t="s">
        <v>91</v>
      </c>
      <c r="F292" s="1" t="s">
        <v>18</v>
      </c>
      <c r="G292" s="1" t="s">
        <v>97</v>
      </c>
      <c r="H292" s="1" t="s">
        <v>33</v>
      </c>
      <c r="I292" s="1" t="s">
        <v>34</v>
      </c>
      <c r="J292" s="1">
        <v>6</v>
      </c>
      <c r="K292" s="15">
        <v>34.450000000000003</v>
      </c>
      <c r="L292" s="13">
        <v>0.2</v>
      </c>
      <c r="M292" s="10">
        <v>27.26</v>
      </c>
      <c r="N292" s="12">
        <f>(Table1[[#This Row],[Quantity]]*Table1[[#This Row],[Unit Price]])*(1-Table1[[#This Row],[Discount]])</f>
        <v>165.36</v>
      </c>
      <c r="O292" s="12">
        <f>(Table1[[#This Row],[Unit Price]]-Table1[[#This Row],[Unit Cost]])*Table1[[#This Row],[Quantity]]</f>
        <v>43.140000000000008</v>
      </c>
      <c r="P292" s="17" t="str">
        <f t="shared" si="4"/>
        <v>Bulk</v>
      </c>
      <c r="Q292" t="str">
        <f>IF(Table1[[#This Row],[Discount]]&gt;=15%,"HIGH",IF(Table1[[#This Row],[Discount]]&gt;=55,"MEDIUM","NONE"))</f>
        <v>HIGH</v>
      </c>
      <c r="R292">
        <f>Table1[[#This Row],[Ship Date]]-Table1[[#This Row],[Order Date]]</f>
        <v>5</v>
      </c>
    </row>
    <row r="293" spans="1:18" x14ac:dyDescent="0.25">
      <c r="A293" s="3" t="s">
        <v>709</v>
      </c>
      <c r="B293" s="2" t="s">
        <v>357</v>
      </c>
      <c r="C293" s="2" t="s">
        <v>357</v>
      </c>
      <c r="D293" s="1" t="s">
        <v>24</v>
      </c>
      <c r="E293" s="1" t="s">
        <v>71</v>
      </c>
      <c r="F293" s="1" t="s">
        <v>60</v>
      </c>
      <c r="G293" s="1" t="s">
        <v>26</v>
      </c>
      <c r="H293" s="1" t="s">
        <v>45</v>
      </c>
      <c r="I293" s="1" t="s">
        <v>148</v>
      </c>
      <c r="J293" s="1">
        <v>1</v>
      </c>
      <c r="K293" s="15">
        <v>410.83</v>
      </c>
      <c r="L293" s="13">
        <v>0</v>
      </c>
      <c r="M293" s="10">
        <v>292.45</v>
      </c>
      <c r="N293" s="12">
        <f>(Table1[[#This Row],[Quantity]]*Table1[[#This Row],[Unit Price]])*(1-Table1[[#This Row],[Discount]])</f>
        <v>410.83</v>
      </c>
      <c r="O293" s="12">
        <f>(Table1[[#This Row],[Unit Price]]-Table1[[#This Row],[Unit Cost]])*Table1[[#This Row],[Quantity]]</f>
        <v>118.38</v>
      </c>
      <c r="P293" s="17" t="str">
        <f t="shared" si="4"/>
        <v>Standard</v>
      </c>
      <c r="Q293" t="str">
        <f>IF(Table1[[#This Row],[Discount]]&gt;=15%,"HIGH",IF(Table1[[#This Row],[Discount]]&gt;=55,"MEDIUM","NONE"))</f>
        <v>NONE</v>
      </c>
      <c r="R293">
        <f>Table1[[#This Row],[Ship Date]]-Table1[[#This Row],[Order Date]]</f>
        <v>0</v>
      </c>
    </row>
    <row r="294" spans="1:18" x14ac:dyDescent="0.25">
      <c r="A294" s="3" t="s">
        <v>710</v>
      </c>
      <c r="B294" s="2" t="s">
        <v>185</v>
      </c>
      <c r="C294" s="2" t="s">
        <v>186</v>
      </c>
      <c r="D294" s="1" t="s">
        <v>30</v>
      </c>
      <c r="E294" s="1" t="s">
        <v>55</v>
      </c>
      <c r="F294" s="1" t="s">
        <v>60</v>
      </c>
      <c r="G294" s="1" t="s">
        <v>32</v>
      </c>
      <c r="H294" s="1" t="s">
        <v>33</v>
      </c>
      <c r="I294" s="1" t="s">
        <v>39</v>
      </c>
      <c r="J294" s="1">
        <v>9</v>
      </c>
      <c r="K294" s="15">
        <v>10.29</v>
      </c>
      <c r="L294" s="13">
        <v>0</v>
      </c>
      <c r="M294" s="10">
        <v>7.4</v>
      </c>
      <c r="N294" s="12">
        <f>(Table1[[#This Row],[Quantity]]*Table1[[#This Row],[Unit Price]])*(1-Table1[[#This Row],[Discount]])</f>
        <v>92.609999999999985</v>
      </c>
      <c r="O294" s="12">
        <f>(Table1[[#This Row],[Unit Price]]-Table1[[#This Row],[Unit Cost]])*Table1[[#This Row],[Quantity]]</f>
        <v>26.009999999999991</v>
      </c>
      <c r="P294" s="17" t="str">
        <f t="shared" si="4"/>
        <v>Standard</v>
      </c>
      <c r="Q294" t="str">
        <f>IF(Table1[[#This Row],[Discount]]&gt;=15%,"HIGH",IF(Table1[[#This Row],[Discount]]&gt;=55,"MEDIUM","NONE"))</f>
        <v>NONE</v>
      </c>
      <c r="R294">
        <f>Table1[[#This Row],[Ship Date]]-Table1[[#This Row],[Order Date]]</f>
        <v>2</v>
      </c>
    </row>
    <row r="295" spans="1:18" x14ac:dyDescent="0.25">
      <c r="A295" s="3" t="s">
        <v>711</v>
      </c>
      <c r="B295" s="2" t="s">
        <v>712</v>
      </c>
      <c r="C295" s="2" t="s">
        <v>713</v>
      </c>
      <c r="D295" s="1" t="s">
        <v>30</v>
      </c>
      <c r="E295" s="1" t="s">
        <v>112</v>
      </c>
      <c r="F295" s="1" t="s">
        <v>38</v>
      </c>
      <c r="G295" s="1" t="s">
        <v>44</v>
      </c>
      <c r="H295" s="1" t="s">
        <v>33</v>
      </c>
      <c r="I295" s="1" t="s">
        <v>153</v>
      </c>
      <c r="J295" s="1">
        <v>22</v>
      </c>
      <c r="K295" s="15">
        <v>6.11</v>
      </c>
      <c r="L295" s="13">
        <v>0</v>
      </c>
      <c r="M295" s="10">
        <v>3.87</v>
      </c>
      <c r="N295" s="12">
        <f>(Table1[[#This Row],[Quantity]]*Table1[[#This Row],[Unit Price]])*(1-Table1[[#This Row],[Discount]])</f>
        <v>134.42000000000002</v>
      </c>
      <c r="O295" s="12">
        <f>(Table1[[#This Row],[Unit Price]]-Table1[[#This Row],[Unit Cost]])*Table1[[#This Row],[Quantity]]</f>
        <v>49.28</v>
      </c>
      <c r="P295" s="17" t="str">
        <f t="shared" si="4"/>
        <v>Standard</v>
      </c>
      <c r="Q295" t="str">
        <f>IF(Table1[[#This Row],[Discount]]&gt;=15%,"HIGH",IF(Table1[[#This Row],[Discount]]&gt;=55,"MEDIUM","NONE"))</f>
        <v>NONE</v>
      </c>
      <c r="R295">
        <f>Table1[[#This Row],[Ship Date]]-Table1[[#This Row],[Order Date]]</f>
        <v>3</v>
      </c>
    </row>
    <row r="296" spans="1:18" x14ac:dyDescent="0.25">
      <c r="A296" s="3" t="s">
        <v>714</v>
      </c>
      <c r="B296" s="2" t="s">
        <v>715</v>
      </c>
      <c r="C296" s="2" t="s">
        <v>716</v>
      </c>
      <c r="D296" s="1" t="s">
        <v>16</v>
      </c>
      <c r="E296" s="1" t="s">
        <v>59</v>
      </c>
      <c r="F296" s="1" t="s">
        <v>25</v>
      </c>
      <c r="G296" s="1" t="s">
        <v>19</v>
      </c>
      <c r="H296" s="1" t="s">
        <v>33</v>
      </c>
      <c r="I296" s="1" t="s">
        <v>39</v>
      </c>
      <c r="J296" s="1">
        <v>20</v>
      </c>
      <c r="K296" s="15">
        <v>17.36</v>
      </c>
      <c r="L296" s="13">
        <v>0</v>
      </c>
      <c r="M296" s="10">
        <v>12.5</v>
      </c>
      <c r="N296" s="12">
        <f>(Table1[[#This Row],[Quantity]]*Table1[[#This Row],[Unit Price]])*(1-Table1[[#This Row],[Discount]])</f>
        <v>347.2</v>
      </c>
      <c r="O296" s="12">
        <f>(Table1[[#This Row],[Unit Price]]-Table1[[#This Row],[Unit Cost]])*Table1[[#This Row],[Quantity]]</f>
        <v>97.199999999999989</v>
      </c>
      <c r="P296" s="17" t="str">
        <f t="shared" si="4"/>
        <v>Bulk</v>
      </c>
      <c r="Q296" t="str">
        <f>IF(Table1[[#This Row],[Discount]]&gt;=15%,"HIGH",IF(Table1[[#This Row],[Discount]]&gt;=55,"MEDIUM","NONE"))</f>
        <v>NONE</v>
      </c>
      <c r="R296">
        <f>Table1[[#This Row],[Ship Date]]-Table1[[#This Row],[Order Date]]</f>
        <v>4</v>
      </c>
    </row>
    <row r="297" spans="1:18" x14ac:dyDescent="0.25">
      <c r="A297" s="3" t="s">
        <v>717</v>
      </c>
      <c r="B297" s="2" t="s">
        <v>718</v>
      </c>
      <c r="C297" s="2" t="s">
        <v>718</v>
      </c>
      <c r="D297" s="1" t="s">
        <v>24</v>
      </c>
      <c r="E297" s="1" t="s">
        <v>55</v>
      </c>
      <c r="F297" s="1" t="s">
        <v>60</v>
      </c>
      <c r="G297" s="1" t="s">
        <v>26</v>
      </c>
      <c r="H297" s="1" t="s">
        <v>33</v>
      </c>
      <c r="I297" s="1" t="s">
        <v>76</v>
      </c>
      <c r="J297" s="1">
        <v>23</v>
      </c>
      <c r="K297" s="15">
        <v>39.799999999999997</v>
      </c>
      <c r="L297" s="13">
        <v>0.2</v>
      </c>
      <c r="M297" s="10">
        <v>23.78</v>
      </c>
      <c r="N297" s="12">
        <f>(Table1[[#This Row],[Quantity]]*Table1[[#This Row],[Unit Price]])*(1-Table1[[#This Row],[Discount]])</f>
        <v>732.32</v>
      </c>
      <c r="O297" s="12">
        <f>(Table1[[#This Row],[Unit Price]]-Table1[[#This Row],[Unit Cost]])*Table1[[#This Row],[Quantity]]</f>
        <v>368.45999999999992</v>
      </c>
      <c r="P297" s="17" t="str">
        <f t="shared" si="4"/>
        <v>Bulk</v>
      </c>
      <c r="Q297" t="str">
        <f>IF(Table1[[#This Row],[Discount]]&gt;=15%,"HIGH",IF(Table1[[#This Row],[Discount]]&gt;=55,"MEDIUM","NONE"))</f>
        <v>HIGH</v>
      </c>
      <c r="R297">
        <f>Table1[[#This Row],[Ship Date]]-Table1[[#This Row],[Order Date]]</f>
        <v>0</v>
      </c>
    </row>
    <row r="298" spans="1:18" x14ac:dyDescent="0.25">
      <c r="A298" s="3" t="s">
        <v>719</v>
      </c>
      <c r="B298" s="2" t="s">
        <v>720</v>
      </c>
      <c r="C298" s="2" t="s">
        <v>721</v>
      </c>
      <c r="D298" s="1" t="s">
        <v>30</v>
      </c>
      <c r="E298" s="1" t="s">
        <v>78</v>
      </c>
      <c r="F298" s="1" t="s">
        <v>18</v>
      </c>
      <c r="G298" s="1" t="s">
        <v>50</v>
      </c>
      <c r="H298" s="1" t="s">
        <v>33</v>
      </c>
      <c r="I298" s="1" t="s">
        <v>153</v>
      </c>
      <c r="J298" s="1">
        <v>4</v>
      </c>
      <c r="K298" s="15">
        <v>19.89</v>
      </c>
      <c r="L298" s="13">
        <v>0.15</v>
      </c>
      <c r="M298" s="10">
        <v>12.23</v>
      </c>
      <c r="N298" s="12">
        <f>(Table1[[#This Row],[Quantity]]*Table1[[#This Row],[Unit Price]])*(1-Table1[[#This Row],[Discount]])</f>
        <v>67.626000000000005</v>
      </c>
      <c r="O298" s="12">
        <f>(Table1[[#This Row],[Unit Price]]-Table1[[#This Row],[Unit Cost]])*Table1[[#This Row],[Quantity]]</f>
        <v>30.64</v>
      </c>
      <c r="P298" s="17" t="str">
        <f t="shared" si="4"/>
        <v>Bulk</v>
      </c>
      <c r="Q298" t="str">
        <f>IF(Table1[[#This Row],[Discount]]&gt;=15%,"HIGH",IF(Table1[[#This Row],[Discount]]&gt;=55,"MEDIUM","NONE"))</f>
        <v>HIGH</v>
      </c>
      <c r="R298">
        <f>Table1[[#This Row],[Ship Date]]-Table1[[#This Row],[Order Date]]</f>
        <v>3</v>
      </c>
    </row>
    <row r="299" spans="1:18" x14ac:dyDescent="0.25">
      <c r="A299" s="3" t="s">
        <v>722</v>
      </c>
      <c r="B299" s="2" t="s">
        <v>458</v>
      </c>
      <c r="C299" s="2" t="s">
        <v>242</v>
      </c>
      <c r="D299" s="1" t="s">
        <v>30</v>
      </c>
      <c r="E299" s="1" t="s">
        <v>17</v>
      </c>
      <c r="F299" s="1" t="s">
        <v>18</v>
      </c>
      <c r="G299" s="1" t="s">
        <v>44</v>
      </c>
      <c r="H299" s="1" t="s">
        <v>20</v>
      </c>
      <c r="I299" s="1" t="s">
        <v>113</v>
      </c>
      <c r="J299" s="1">
        <v>11</v>
      </c>
      <c r="K299" s="15">
        <v>477.43</v>
      </c>
      <c r="L299" s="13">
        <v>0.1</v>
      </c>
      <c r="M299" s="10">
        <v>297.68</v>
      </c>
      <c r="N299" s="12">
        <f>(Table1[[#This Row],[Quantity]]*Table1[[#This Row],[Unit Price]])*(1-Table1[[#This Row],[Discount]])</f>
        <v>4726.5570000000007</v>
      </c>
      <c r="O299" s="12">
        <f>(Table1[[#This Row],[Unit Price]]-Table1[[#This Row],[Unit Cost]])*Table1[[#This Row],[Quantity]]</f>
        <v>1977.25</v>
      </c>
      <c r="P299" s="17" t="str">
        <f t="shared" si="4"/>
        <v>Standard</v>
      </c>
      <c r="Q299" t="str">
        <f>IF(Table1[[#This Row],[Discount]]&gt;=15%,"HIGH",IF(Table1[[#This Row],[Discount]]&gt;=55,"MEDIUM","NONE"))</f>
        <v>NONE</v>
      </c>
      <c r="R299">
        <f>Table1[[#This Row],[Ship Date]]-Table1[[#This Row],[Order Date]]</f>
        <v>3</v>
      </c>
    </row>
    <row r="300" spans="1:18" x14ac:dyDescent="0.25">
      <c r="A300" s="3" t="s">
        <v>723</v>
      </c>
      <c r="B300" s="2" t="s">
        <v>679</v>
      </c>
      <c r="C300" s="2" t="s">
        <v>679</v>
      </c>
      <c r="D300" s="1" t="s">
        <v>24</v>
      </c>
      <c r="E300" s="1" t="s">
        <v>71</v>
      </c>
      <c r="F300" s="1" t="s">
        <v>25</v>
      </c>
      <c r="G300" s="1" t="s">
        <v>67</v>
      </c>
      <c r="H300" s="1" t="s">
        <v>20</v>
      </c>
      <c r="I300" s="1" t="s">
        <v>139</v>
      </c>
      <c r="J300" s="1">
        <v>13</v>
      </c>
      <c r="K300" s="15">
        <v>659.31</v>
      </c>
      <c r="L300" s="13">
        <v>0.05</v>
      </c>
      <c r="M300" s="10">
        <v>371.53</v>
      </c>
      <c r="N300" s="12">
        <f>(Table1[[#This Row],[Quantity]]*Table1[[#This Row],[Unit Price]])*(1-Table1[[#This Row],[Discount]])</f>
        <v>8142.4784999999983</v>
      </c>
      <c r="O300" s="12">
        <f>(Table1[[#This Row],[Unit Price]]-Table1[[#This Row],[Unit Cost]])*Table1[[#This Row],[Quantity]]</f>
        <v>3741.1399999999994</v>
      </c>
      <c r="P300" s="17" t="str">
        <f t="shared" si="4"/>
        <v>Bulk</v>
      </c>
      <c r="Q300" t="str">
        <f>IF(Table1[[#This Row],[Discount]]&gt;=15%,"HIGH",IF(Table1[[#This Row],[Discount]]&gt;=55,"MEDIUM","NONE"))</f>
        <v>NONE</v>
      </c>
      <c r="R300">
        <f>Table1[[#This Row],[Ship Date]]-Table1[[#This Row],[Order Date]]</f>
        <v>0</v>
      </c>
    </row>
    <row r="301" spans="1:18" x14ac:dyDescent="0.25">
      <c r="A301" s="3" t="s">
        <v>724</v>
      </c>
      <c r="B301" s="2" t="s">
        <v>725</v>
      </c>
      <c r="C301" s="2" t="s">
        <v>437</v>
      </c>
      <c r="D301" s="1" t="s">
        <v>30</v>
      </c>
      <c r="E301" s="1" t="s">
        <v>75</v>
      </c>
      <c r="F301" s="1" t="s">
        <v>38</v>
      </c>
      <c r="G301" s="1" t="s">
        <v>50</v>
      </c>
      <c r="H301" s="1" t="s">
        <v>33</v>
      </c>
      <c r="I301" s="1" t="s">
        <v>76</v>
      </c>
      <c r="J301" s="1">
        <v>23</v>
      </c>
      <c r="K301" s="15">
        <v>8.85</v>
      </c>
      <c r="L301" s="13">
        <v>0</v>
      </c>
      <c r="M301" s="10">
        <v>5.95</v>
      </c>
      <c r="N301" s="12">
        <f>(Table1[[#This Row],[Quantity]]*Table1[[#This Row],[Unit Price]])*(1-Table1[[#This Row],[Discount]])</f>
        <v>203.54999999999998</v>
      </c>
      <c r="O301" s="12">
        <f>(Table1[[#This Row],[Unit Price]]-Table1[[#This Row],[Unit Cost]])*Table1[[#This Row],[Quantity]]</f>
        <v>66.699999999999989</v>
      </c>
      <c r="P301" s="17" t="str">
        <f t="shared" si="4"/>
        <v>Bulk</v>
      </c>
      <c r="Q301" t="str">
        <f>IF(Table1[[#This Row],[Discount]]&gt;=15%,"HIGH",IF(Table1[[#This Row],[Discount]]&gt;=55,"MEDIUM","NONE"))</f>
        <v>NONE</v>
      </c>
      <c r="R301">
        <f>Table1[[#This Row],[Ship Date]]-Table1[[#This Row],[Order Date]]</f>
        <v>3</v>
      </c>
    </row>
    <row r="302" spans="1:18" x14ac:dyDescent="0.25">
      <c r="A302" s="3" t="s">
        <v>726</v>
      </c>
      <c r="B302" s="2" t="s">
        <v>386</v>
      </c>
      <c r="C302" s="2" t="s">
        <v>672</v>
      </c>
      <c r="D302" s="1" t="s">
        <v>16</v>
      </c>
      <c r="E302" s="1" t="s">
        <v>37</v>
      </c>
      <c r="F302" s="1" t="s">
        <v>60</v>
      </c>
      <c r="G302" s="1" t="s">
        <v>19</v>
      </c>
      <c r="H302" s="1" t="s">
        <v>20</v>
      </c>
      <c r="I302" s="1" t="s">
        <v>21</v>
      </c>
      <c r="J302" s="1">
        <v>19</v>
      </c>
      <c r="K302" s="15">
        <v>929.16</v>
      </c>
      <c r="L302" s="13">
        <v>0.05</v>
      </c>
      <c r="M302" s="10">
        <v>693.43</v>
      </c>
      <c r="N302" s="12">
        <f>(Table1[[#This Row],[Quantity]]*Table1[[#This Row],[Unit Price]])*(1-Table1[[#This Row],[Discount]])</f>
        <v>16771.338</v>
      </c>
      <c r="O302" s="12">
        <f>(Table1[[#This Row],[Unit Price]]-Table1[[#This Row],[Unit Cost]])*Table1[[#This Row],[Quantity]]</f>
        <v>4478.8700000000008</v>
      </c>
      <c r="P302" s="17" t="str">
        <f t="shared" si="4"/>
        <v>Bulk</v>
      </c>
      <c r="Q302" t="str">
        <f>IF(Table1[[#This Row],[Discount]]&gt;=15%,"HIGH",IF(Table1[[#This Row],[Discount]]&gt;=55,"MEDIUM","NONE"))</f>
        <v>NONE</v>
      </c>
      <c r="R302">
        <f>Table1[[#This Row],[Ship Date]]-Table1[[#This Row],[Order Date]]</f>
        <v>4</v>
      </c>
    </row>
    <row r="303" spans="1:18" x14ac:dyDescent="0.25">
      <c r="A303" s="3" t="s">
        <v>727</v>
      </c>
      <c r="B303" s="2" t="s">
        <v>728</v>
      </c>
      <c r="C303" s="2" t="s">
        <v>264</v>
      </c>
      <c r="D303" s="1" t="s">
        <v>30</v>
      </c>
      <c r="E303" s="1" t="s">
        <v>31</v>
      </c>
      <c r="F303" s="1" t="s">
        <v>60</v>
      </c>
      <c r="G303" s="1" t="s">
        <v>82</v>
      </c>
      <c r="H303" s="1" t="s">
        <v>61</v>
      </c>
      <c r="I303" s="1" t="s">
        <v>62</v>
      </c>
      <c r="J303" s="1">
        <v>1</v>
      </c>
      <c r="K303" s="15">
        <v>13.02</v>
      </c>
      <c r="L303" s="13">
        <v>0</v>
      </c>
      <c r="M303" s="10">
        <v>9.5399999999999991</v>
      </c>
      <c r="N303" s="12">
        <f>(Table1[[#This Row],[Quantity]]*Table1[[#This Row],[Unit Price]])*(1-Table1[[#This Row],[Discount]])</f>
        <v>13.02</v>
      </c>
      <c r="O303" s="12">
        <f>(Table1[[#This Row],[Unit Price]]-Table1[[#This Row],[Unit Cost]])*Table1[[#This Row],[Quantity]]</f>
        <v>3.4800000000000004</v>
      </c>
      <c r="P303" s="17" t="str">
        <f t="shared" si="4"/>
        <v>Bulk</v>
      </c>
      <c r="Q303" t="str">
        <f>IF(Table1[[#This Row],[Discount]]&gt;=15%,"HIGH",IF(Table1[[#This Row],[Discount]]&gt;=55,"MEDIUM","NONE"))</f>
        <v>NONE</v>
      </c>
      <c r="R303">
        <f>Table1[[#This Row],[Ship Date]]-Table1[[#This Row],[Order Date]]</f>
        <v>3</v>
      </c>
    </row>
    <row r="304" spans="1:18" x14ac:dyDescent="0.25">
      <c r="A304" s="3" t="s">
        <v>729</v>
      </c>
      <c r="B304" s="2" t="s">
        <v>730</v>
      </c>
      <c r="C304" s="2" t="s">
        <v>730</v>
      </c>
      <c r="D304" s="1" t="s">
        <v>24</v>
      </c>
      <c r="E304" s="1" t="s">
        <v>17</v>
      </c>
      <c r="F304" s="1" t="s">
        <v>43</v>
      </c>
      <c r="G304" s="1" t="s">
        <v>19</v>
      </c>
      <c r="H304" s="1" t="s">
        <v>45</v>
      </c>
      <c r="I304" s="1" t="s">
        <v>46</v>
      </c>
      <c r="J304" s="1">
        <v>12</v>
      </c>
      <c r="K304" s="15">
        <v>290.95</v>
      </c>
      <c r="L304" s="13">
        <v>0</v>
      </c>
      <c r="M304" s="10">
        <v>187.92</v>
      </c>
      <c r="N304" s="12">
        <f>(Table1[[#This Row],[Quantity]]*Table1[[#This Row],[Unit Price]])*(1-Table1[[#This Row],[Discount]])</f>
        <v>3491.3999999999996</v>
      </c>
      <c r="O304" s="12">
        <f>(Table1[[#This Row],[Unit Price]]-Table1[[#This Row],[Unit Cost]])*Table1[[#This Row],[Quantity]]</f>
        <v>1236.3600000000001</v>
      </c>
      <c r="P304" s="17" t="str">
        <f t="shared" si="4"/>
        <v>Standard</v>
      </c>
      <c r="Q304" t="str">
        <f>IF(Table1[[#This Row],[Discount]]&gt;=15%,"HIGH",IF(Table1[[#This Row],[Discount]]&gt;=55,"MEDIUM","NONE"))</f>
        <v>NONE</v>
      </c>
      <c r="R304">
        <f>Table1[[#This Row],[Ship Date]]-Table1[[#This Row],[Order Date]]</f>
        <v>0</v>
      </c>
    </row>
    <row r="305" spans="1:18" x14ac:dyDescent="0.25">
      <c r="A305" s="3" t="s">
        <v>731</v>
      </c>
      <c r="B305" s="2" t="s">
        <v>81</v>
      </c>
      <c r="C305" s="2" t="s">
        <v>379</v>
      </c>
      <c r="D305" s="1" t="s">
        <v>30</v>
      </c>
      <c r="E305" s="1" t="s">
        <v>75</v>
      </c>
      <c r="F305" s="1" t="s">
        <v>18</v>
      </c>
      <c r="G305" s="1" t="s">
        <v>32</v>
      </c>
      <c r="H305" s="1" t="s">
        <v>20</v>
      </c>
      <c r="I305" s="1" t="s">
        <v>134</v>
      </c>
      <c r="J305" s="1">
        <v>22</v>
      </c>
      <c r="K305" s="15">
        <v>1194.79</v>
      </c>
      <c r="L305" s="13">
        <v>0</v>
      </c>
      <c r="M305" s="10">
        <v>954.68</v>
      </c>
      <c r="N305" s="12">
        <f>(Table1[[#This Row],[Quantity]]*Table1[[#This Row],[Unit Price]])*(1-Table1[[#This Row],[Discount]])</f>
        <v>26285.379999999997</v>
      </c>
      <c r="O305" s="12">
        <f>(Table1[[#This Row],[Unit Price]]-Table1[[#This Row],[Unit Cost]])*Table1[[#This Row],[Quantity]]</f>
        <v>5282.42</v>
      </c>
      <c r="P305" s="17" t="str">
        <f t="shared" si="4"/>
        <v>Bulk</v>
      </c>
      <c r="Q305" t="str">
        <f>IF(Table1[[#This Row],[Discount]]&gt;=15%,"HIGH",IF(Table1[[#This Row],[Discount]]&gt;=55,"MEDIUM","NONE"))</f>
        <v>NONE</v>
      </c>
      <c r="R305">
        <f>Table1[[#This Row],[Ship Date]]-Table1[[#This Row],[Order Date]]</f>
        <v>3</v>
      </c>
    </row>
    <row r="306" spans="1:18" x14ac:dyDescent="0.25">
      <c r="A306" s="3" t="s">
        <v>732</v>
      </c>
      <c r="B306" s="2" t="s">
        <v>733</v>
      </c>
      <c r="C306" s="2" t="s">
        <v>733</v>
      </c>
      <c r="D306" s="1" t="s">
        <v>24</v>
      </c>
      <c r="E306" s="1" t="s">
        <v>17</v>
      </c>
      <c r="F306" s="1" t="s">
        <v>43</v>
      </c>
      <c r="G306" s="1" t="s">
        <v>19</v>
      </c>
      <c r="H306" s="1" t="s">
        <v>45</v>
      </c>
      <c r="I306" s="1" t="s">
        <v>143</v>
      </c>
      <c r="J306" s="1">
        <v>5</v>
      </c>
      <c r="K306" s="15">
        <v>216.28</v>
      </c>
      <c r="L306" s="13">
        <v>0</v>
      </c>
      <c r="M306" s="10">
        <v>150.84</v>
      </c>
      <c r="N306" s="12">
        <f>(Table1[[#This Row],[Quantity]]*Table1[[#This Row],[Unit Price]])*(1-Table1[[#This Row],[Discount]])</f>
        <v>1081.4000000000001</v>
      </c>
      <c r="O306" s="12">
        <f>(Table1[[#This Row],[Unit Price]]-Table1[[#This Row],[Unit Cost]])*Table1[[#This Row],[Quantity]]</f>
        <v>327.2</v>
      </c>
      <c r="P306" s="17" t="str">
        <f t="shared" si="4"/>
        <v>Bulk</v>
      </c>
      <c r="Q306" t="str">
        <f>IF(Table1[[#This Row],[Discount]]&gt;=15%,"HIGH",IF(Table1[[#This Row],[Discount]]&gt;=55,"MEDIUM","NONE"))</f>
        <v>NONE</v>
      </c>
      <c r="R306">
        <f>Table1[[#This Row],[Ship Date]]-Table1[[#This Row],[Order Date]]</f>
        <v>0</v>
      </c>
    </row>
    <row r="307" spans="1:18" x14ac:dyDescent="0.25">
      <c r="A307" s="3" t="s">
        <v>734</v>
      </c>
      <c r="B307" s="2" t="s">
        <v>735</v>
      </c>
      <c r="C307" s="2" t="s">
        <v>735</v>
      </c>
      <c r="D307" s="1" t="s">
        <v>24</v>
      </c>
      <c r="E307" s="1" t="s">
        <v>122</v>
      </c>
      <c r="F307" s="1" t="s">
        <v>18</v>
      </c>
      <c r="G307" s="1" t="s">
        <v>26</v>
      </c>
      <c r="H307" s="1" t="s">
        <v>20</v>
      </c>
      <c r="I307" s="1" t="s">
        <v>139</v>
      </c>
      <c r="J307" s="1">
        <v>2</v>
      </c>
      <c r="K307" s="15">
        <v>811.27</v>
      </c>
      <c r="L307" s="13">
        <v>0.15</v>
      </c>
      <c r="M307" s="10">
        <v>615.78</v>
      </c>
      <c r="N307" s="12">
        <f>(Table1[[#This Row],[Quantity]]*Table1[[#This Row],[Unit Price]])*(1-Table1[[#This Row],[Discount]])</f>
        <v>1379.1589999999999</v>
      </c>
      <c r="O307" s="12">
        <f>(Table1[[#This Row],[Unit Price]]-Table1[[#This Row],[Unit Cost]])*Table1[[#This Row],[Quantity]]</f>
        <v>390.98</v>
      </c>
      <c r="P307" s="17" t="str">
        <f t="shared" si="4"/>
        <v>Standard</v>
      </c>
      <c r="Q307" t="str">
        <f>IF(Table1[[#This Row],[Discount]]&gt;=15%,"HIGH",IF(Table1[[#This Row],[Discount]]&gt;=55,"MEDIUM","NONE"))</f>
        <v>HIGH</v>
      </c>
      <c r="R307">
        <f>Table1[[#This Row],[Ship Date]]-Table1[[#This Row],[Order Date]]</f>
        <v>0</v>
      </c>
    </row>
    <row r="308" spans="1:18" x14ac:dyDescent="0.25">
      <c r="A308" s="3" t="s">
        <v>736</v>
      </c>
      <c r="B308" s="2" t="s">
        <v>737</v>
      </c>
      <c r="C308" s="2" t="s">
        <v>115</v>
      </c>
      <c r="D308" s="1" t="s">
        <v>30</v>
      </c>
      <c r="E308" s="1" t="s">
        <v>122</v>
      </c>
      <c r="F308" s="1" t="s">
        <v>43</v>
      </c>
      <c r="G308" s="1" t="s">
        <v>44</v>
      </c>
      <c r="H308" s="1" t="s">
        <v>61</v>
      </c>
      <c r="I308" s="1" t="s">
        <v>62</v>
      </c>
      <c r="J308" s="1">
        <v>23</v>
      </c>
      <c r="K308" s="15">
        <v>22.25</v>
      </c>
      <c r="L308" s="13">
        <v>0.15</v>
      </c>
      <c r="M308" s="10">
        <v>16.05</v>
      </c>
      <c r="N308" s="12">
        <f>(Table1[[#This Row],[Quantity]]*Table1[[#This Row],[Unit Price]])*(1-Table1[[#This Row],[Discount]])</f>
        <v>434.98750000000001</v>
      </c>
      <c r="O308" s="12">
        <f>(Table1[[#This Row],[Unit Price]]-Table1[[#This Row],[Unit Cost]])*Table1[[#This Row],[Quantity]]</f>
        <v>142.6</v>
      </c>
      <c r="P308" s="17" t="str">
        <f t="shared" si="4"/>
        <v>Standard</v>
      </c>
      <c r="Q308" t="str">
        <f>IF(Table1[[#This Row],[Discount]]&gt;=15%,"HIGH",IF(Table1[[#This Row],[Discount]]&gt;=55,"MEDIUM","NONE"))</f>
        <v>HIGH</v>
      </c>
      <c r="R308">
        <f>Table1[[#This Row],[Ship Date]]-Table1[[#This Row],[Order Date]]</f>
        <v>3</v>
      </c>
    </row>
    <row r="309" spans="1:18" x14ac:dyDescent="0.25">
      <c r="A309" s="3" t="s">
        <v>738</v>
      </c>
      <c r="B309" s="2" t="s">
        <v>739</v>
      </c>
      <c r="C309" s="2" t="s">
        <v>740</v>
      </c>
      <c r="D309" s="1" t="s">
        <v>30</v>
      </c>
      <c r="E309" s="1" t="s">
        <v>37</v>
      </c>
      <c r="F309" s="1" t="s">
        <v>38</v>
      </c>
      <c r="G309" s="1" t="s">
        <v>50</v>
      </c>
      <c r="H309" s="1" t="s">
        <v>20</v>
      </c>
      <c r="I309" s="1" t="s">
        <v>151</v>
      </c>
      <c r="J309" s="1">
        <v>4</v>
      </c>
      <c r="K309" s="15">
        <v>638.32000000000005</v>
      </c>
      <c r="L309" s="13">
        <v>0.1</v>
      </c>
      <c r="M309" s="10">
        <v>369.86</v>
      </c>
      <c r="N309" s="12">
        <f>(Table1[[#This Row],[Quantity]]*Table1[[#This Row],[Unit Price]])*(1-Table1[[#This Row],[Discount]])</f>
        <v>2297.9520000000002</v>
      </c>
      <c r="O309" s="12">
        <f>(Table1[[#This Row],[Unit Price]]-Table1[[#This Row],[Unit Cost]])*Table1[[#This Row],[Quantity]]</f>
        <v>1073.8400000000001</v>
      </c>
      <c r="P309" s="17" t="str">
        <f t="shared" si="4"/>
        <v>Bulk</v>
      </c>
      <c r="Q309" t="str">
        <f>IF(Table1[[#This Row],[Discount]]&gt;=15%,"HIGH",IF(Table1[[#This Row],[Discount]]&gt;=55,"MEDIUM","NONE"))</f>
        <v>NONE</v>
      </c>
      <c r="R309">
        <f>Table1[[#This Row],[Ship Date]]-Table1[[#This Row],[Order Date]]</f>
        <v>2</v>
      </c>
    </row>
    <row r="310" spans="1:18" x14ac:dyDescent="0.25">
      <c r="A310" s="3" t="s">
        <v>741</v>
      </c>
      <c r="B310" s="2" t="s">
        <v>742</v>
      </c>
      <c r="C310" s="2" t="s">
        <v>743</v>
      </c>
      <c r="D310" s="1" t="s">
        <v>30</v>
      </c>
      <c r="E310" s="1" t="s">
        <v>37</v>
      </c>
      <c r="F310" s="1" t="s">
        <v>25</v>
      </c>
      <c r="G310" s="1" t="s">
        <v>19</v>
      </c>
      <c r="H310" s="1" t="s">
        <v>45</v>
      </c>
      <c r="I310" s="1" t="s">
        <v>83</v>
      </c>
      <c r="J310" s="1">
        <v>23</v>
      </c>
      <c r="K310" s="15">
        <v>363.22</v>
      </c>
      <c r="L310" s="13">
        <v>0</v>
      </c>
      <c r="M310" s="10">
        <v>203.35</v>
      </c>
      <c r="N310" s="12">
        <f>(Table1[[#This Row],[Quantity]]*Table1[[#This Row],[Unit Price]])*(1-Table1[[#This Row],[Discount]])</f>
        <v>8354.0600000000013</v>
      </c>
      <c r="O310" s="12">
        <f>(Table1[[#This Row],[Unit Price]]-Table1[[#This Row],[Unit Cost]])*Table1[[#This Row],[Quantity]]</f>
        <v>3677.0100000000007</v>
      </c>
      <c r="P310" s="17" t="str">
        <f t="shared" si="4"/>
        <v>Standard</v>
      </c>
      <c r="Q310" t="str">
        <f>IF(Table1[[#This Row],[Discount]]&gt;=15%,"HIGH",IF(Table1[[#This Row],[Discount]]&gt;=55,"MEDIUM","NONE"))</f>
        <v>NONE</v>
      </c>
      <c r="R310">
        <f>Table1[[#This Row],[Ship Date]]-Table1[[#This Row],[Order Date]]</f>
        <v>2</v>
      </c>
    </row>
    <row r="311" spans="1:18" x14ac:dyDescent="0.25">
      <c r="A311" s="3" t="s">
        <v>744</v>
      </c>
      <c r="B311" s="2" t="s">
        <v>745</v>
      </c>
      <c r="C311" s="2" t="s">
        <v>745</v>
      </c>
      <c r="D311" s="1" t="s">
        <v>24</v>
      </c>
      <c r="E311" s="1" t="s">
        <v>91</v>
      </c>
      <c r="F311" s="1" t="s">
        <v>25</v>
      </c>
      <c r="G311" s="1" t="s">
        <v>26</v>
      </c>
      <c r="H311" s="1" t="s">
        <v>61</v>
      </c>
      <c r="I311" s="1" t="s">
        <v>169</v>
      </c>
      <c r="J311" s="1">
        <v>3</v>
      </c>
      <c r="K311" s="15">
        <v>82.55</v>
      </c>
      <c r="L311" s="13">
        <v>0.2</v>
      </c>
      <c r="M311" s="10">
        <v>57.25</v>
      </c>
      <c r="N311" s="12">
        <f>(Table1[[#This Row],[Quantity]]*Table1[[#This Row],[Unit Price]])*(1-Table1[[#This Row],[Discount]])</f>
        <v>198.12</v>
      </c>
      <c r="O311" s="12">
        <f>(Table1[[#This Row],[Unit Price]]-Table1[[#This Row],[Unit Cost]])*Table1[[#This Row],[Quantity]]</f>
        <v>75.899999999999991</v>
      </c>
      <c r="P311" s="17" t="str">
        <f t="shared" si="4"/>
        <v>Bulk</v>
      </c>
      <c r="Q311" t="str">
        <f>IF(Table1[[#This Row],[Discount]]&gt;=15%,"HIGH",IF(Table1[[#This Row],[Discount]]&gt;=55,"MEDIUM","NONE"))</f>
        <v>HIGH</v>
      </c>
      <c r="R311">
        <f>Table1[[#This Row],[Ship Date]]-Table1[[#This Row],[Order Date]]</f>
        <v>0</v>
      </c>
    </row>
    <row r="312" spans="1:18" x14ac:dyDescent="0.25">
      <c r="A312" s="3" t="s">
        <v>746</v>
      </c>
      <c r="B312" s="2" t="s">
        <v>280</v>
      </c>
      <c r="C312" s="2" t="s">
        <v>648</v>
      </c>
      <c r="D312" s="1" t="s">
        <v>30</v>
      </c>
      <c r="E312" s="1" t="s">
        <v>37</v>
      </c>
      <c r="F312" s="1" t="s">
        <v>43</v>
      </c>
      <c r="G312" s="1" t="s">
        <v>19</v>
      </c>
      <c r="H312" s="1" t="s">
        <v>20</v>
      </c>
      <c r="I312" s="1" t="s">
        <v>151</v>
      </c>
      <c r="J312" s="1">
        <v>10</v>
      </c>
      <c r="K312" s="15">
        <v>353.74</v>
      </c>
      <c r="L312" s="13">
        <v>0</v>
      </c>
      <c r="M312" s="10">
        <v>203.38</v>
      </c>
      <c r="N312" s="12">
        <f>(Table1[[#This Row],[Quantity]]*Table1[[#This Row],[Unit Price]])*(1-Table1[[#This Row],[Discount]])</f>
        <v>3537.4</v>
      </c>
      <c r="O312" s="12">
        <f>(Table1[[#This Row],[Unit Price]]-Table1[[#This Row],[Unit Cost]])*Table1[[#This Row],[Quantity]]</f>
        <v>1503.6000000000001</v>
      </c>
      <c r="P312" s="17" t="str">
        <f t="shared" si="4"/>
        <v>Standard</v>
      </c>
      <c r="Q312" t="str">
        <f>IF(Table1[[#This Row],[Discount]]&gt;=15%,"HIGH",IF(Table1[[#This Row],[Discount]]&gt;=55,"MEDIUM","NONE"))</f>
        <v>NONE</v>
      </c>
      <c r="R312">
        <f>Table1[[#This Row],[Ship Date]]-Table1[[#This Row],[Order Date]]</f>
        <v>2</v>
      </c>
    </row>
    <row r="313" spans="1:18" x14ac:dyDescent="0.25">
      <c r="A313" s="3" t="s">
        <v>747</v>
      </c>
      <c r="B313" s="2" t="s">
        <v>748</v>
      </c>
      <c r="C313" s="2" t="s">
        <v>749</v>
      </c>
      <c r="D313" s="1" t="s">
        <v>16</v>
      </c>
      <c r="E313" s="1" t="s">
        <v>96</v>
      </c>
      <c r="F313" s="1" t="s">
        <v>60</v>
      </c>
      <c r="G313" s="1" t="s">
        <v>67</v>
      </c>
      <c r="H313" s="1" t="s">
        <v>33</v>
      </c>
      <c r="I313" s="1" t="s">
        <v>39</v>
      </c>
      <c r="J313" s="1">
        <v>1</v>
      </c>
      <c r="K313" s="15">
        <v>34.380000000000003</v>
      </c>
      <c r="L313" s="13">
        <v>0.15</v>
      </c>
      <c r="M313" s="10">
        <v>24.47</v>
      </c>
      <c r="N313" s="12">
        <f>(Table1[[#This Row],[Quantity]]*Table1[[#This Row],[Unit Price]])*(1-Table1[[#This Row],[Discount]])</f>
        <v>29.223000000000003</v>
      </c>
      <c r="O313" s="12">
        <f>(Table1[[#This Row],[Unit Price]]-Table1[[#This Row],[Unit Cost]])*Table1[[#This Row],[Quantity]]</f>
        <v>9.9100000000000037</v>
      </c>
      <c r="P313" s="17" t="str">
        <f t="shared" si="4"/>
        <v>Standard</v>
      </c>
      <c r="Q313" t="str">
        <f>IF(Table1[[#This Row],[Discount]]&gt;=15%,"HIGH",IF(Table1[[#This Row],[Discount]]&gt;=55,"MEDIUM","NONE"))</f>
        <v>HIGH</v>
      </c>
      <c r="R313">
        <f>Table1[[#This Row],[Ship Date]]-Table1[[#This Row],[Order Date]]</f>
        <v>6</v>
      </c>
    </row>
    <row r="314" spans="1:18" x14ac:dyDescent="0.25">
      <c r="A314" s="3" t="s">
        <v>750</v>
      </c>
      <c r="B314" s="2" t="s">
        <v>751</v>
      </c>
      <c r="C314" s="2" t="s">
        <v>752</v>
      </c>
      <c r="D314" s="1" t="s">
        <v>16</v>
      </c>
      <c r="E314" s="1" t="s">
        <v>117</v>
      </c>
      <c r="F314" s="1" t="s">
        <v>18</v>
      </c>
      <c r="G314" s="1" t="s">
        <v>50</v>
      </c>
      <c r="H314" s="1" t="s">
        <v>33</v>
      </c>
      <c r="I314" s="1" t="s">
        <v>34</v>
      </c>
      <c r="J314" s="1">
        <v>13</v>
      </c>
      <c r="K314" s="15">
        <v>17.21</v>
      </c>
      <c r="L314" s="13">
        <v>0.05</v>
      </c>
      <c r="M314" s="10">
        <v>10.64</v>
      </c>
      <c r="N314" s="12">
        <f>(Table1[[#This Row],[Quantity]]*Table1[[#This Row],[Unit Price]])*(1-Table1[[#This Row],[Discount]])</f>
        <v>212.54349999999999</v>
      </c>
      <c r="O314" s="12">
        <f>(Table1[[#This Row],[Unit Price]]-Table1[[#This Row],[Unit Cost]])*Table1[[#This Row],[Quantity]]</f>
        <v>85.41</v>
      </c>
      <c r="P314" s="17" t="str">
        <f t="shared" si="4"/>
        <v>Standard</v>
      </c>
      <c r="Q314" t="str">
        <f>IF(Table1[[#This Row],[Discount]]&gt;=15%,"HIGH",IF(Table1[[#This Row],[Discount]]&gt;=55,"MEDIUM","NONE"))</f>
        <v>NONE</v>
      </c>
      <c r="R314">
        <f>Table1[[#This Row],[Ship Date]]-Table1[[#This Row],[Order Date]]</f>
        <v>7</v>
      </c>
    </row>
    <row r="315" spans="1:18" x14ac:dyDescent="0.25">
      <c r="A315" s="3" t="s">
        <v>753</v>
      </c>
      <c r="B315" s="2" t="s">
        <v>116</v>
      </c>
      <c r="C315" s="2" t="s">
        <v>595</v>
      </c>
      <c r="D315" s="1" t="s">
        <v>16</v>
      </c>
      <c r="E315" s="1" t="s">
        <v>133</v>
      </c>
      <c r="F315" s="1" t="s">
        <v>25</v>
      </c>
      <c r="G315" s="1" t="s">
        <v>50</v>
      </c>
      <c r="H315" s="1" t="s">
        <v>45</v>
      </c>
      <c r="I315" s="1" t="s">
        <v>46</v>
      </c>
      <c r="J315" s="1">
        <v>14</v>
      </c>
      <c r="K315" s="15">
        <v>734.31</v>
      </c>
      <c r="L315" s="13">
        <v>0.05</v>
      </c>
      <c r="M315" s="10">
        <v>551.15</v>
      </c>
      <c r="N315" s="12">
        <f>(Table1[[#This Row],[Quantity]]*Table1[[#This Row],[Unit Price]])*(1-Table1[[#This Row],[Discount]])</f>
        <v>9766.3230000000003</v>
      </c>
      <c r="O315" s="12">
        <f>(Table1[[#This Row],[Unit Price]]-Table1[[#This Row],[Unit Cost]])*Table1[[#This Row],[Quantity]]</f>
        <v>2564.2399999999998</v>
      </c>
      <c r="P315" s="17" t="str">
        <f t="shared" si="4"/>
        <v>Bulk</v>
      </c>
      <c r="Q315" t="str">
        <f>IF(Table1[[#This Row],[Discount]]&gt;=15%,"HIGH",IF(Table1[[#This Row],[Discount]]&gt;=55,"MEDIUM","NONE"))</f>
        <v>NONE</v>
      </c>
      <c r="R315">
        <f>Table1[[#This Row],[Ship Date]]-Table1[[#This Row],[Order Date]]</f>
        <v>7</v>
      </c>
    </row>
    <row r="316" spans="1:18" x14ac:dyDescent="0.25">
      <c r="A316" s="3" t="s">
        <v>754</v>
      </c>
      <c r="B316" s="2" t="s">
        <v>565</v>
      </c>
      <c r="C316" s="2" t="s">
        <v>755</v>
      </c>
      <c r="D316" s="1" t="s">
        <v>30</v>
      </c>
      <c r="E316" s="1" t="s">
        <v>91</v>
      </c>
      <c r="F316" s="1" t="s">
        <v>38</v>
      </c>
      <c r="G316" s="1" t="s">
        <v>50</v>
      </c>
      <c r="H316" s="1" t="s">
        <v>61</v>
      </c>
      <c r="I316" s="1" t="s">
        <v>169</v>
      </c>
      <c r="J316" s="1">
        <v>16</v>
      </c>
      <c r="K316" s="15">
        <v>19.03</v>
      </c>
      <c r="L316" s="13">
        <v>0.05</v>
      </c>
      <c r="M316" s="10">
        <v>12.56</v>
      </c>
      <c r="N316" s="12">
        <f>(Table1[[#This Row],[Quantity]]*Table1[[#This Row],[Unit Price]])*(1-Table1[[#This Row],[Discount]])</f>
        <v>289.25600000000003</v>
      </c>
      <c r="O316" s="12">
        <f>(Table1[[#This Row],[Unit Price]]-Table1[[#This Row],[Unit Cost]])*Table1[[#This Row],[Quantity]]</f>
        <v>103.52000000000001</v>
      </c>
      <c r="P316" s="17" t="str">
        <f t="shared" si="4"/>
        <v>Bulk</v>
      </c>
      <c r="Q316" t="str">
        <f>IF(Table1[[#This Row],[Discount]]&gt;=15%,"HIGH",IF(Table1[[#This Row],[Discount]]&gt;=55,"MEDIUM","NONE"))</f>
        <v>NONE</v>
      </c>
      <c r="R316">
        <f>Table1[[#This Row],[Ship Date]]-Table1[[#This Row],[Order Date]]</f>
        <v>3</v>
      </c>
    </row>
    <row r="317" spans="1:18" x14ac:dyDescent="0.25">
      <c r="A317" s="3" t="s">
        <v>756</v>
      </c>
      <c r="B317" s="2" t="s">
        <v>458</v>
      </c>
      <c r="C317" s="2" t="s">
        <v>458</v>
      </c>
      <c r="D317" s="1" t="s">
        <v>24</v>
      </c>
      <c r="E317" s="1" t="s">
        <v>109</v>
      </c>
      <c r="F317" s="1" t="s">
        <v>38</v>
      </c>
      <c r="G317" s="1" t="s">
        <v>19</v>
      </c>
      <c r="H317" s="1" t="s">
        <v>33</v>
      </c>
      <c r="I317" s="1" t="s">
        <v>34</v>
      </c>
      <c r="J317" s="1">
        <v>11</v>
      </c>
      <c r="K317" s="15">
        <v>21.73</v>
      </c>
      <c r="L317" s="13">
        <v>0.15</v>
      </c>
      <c r="M317" s="10">
        <v>15.76</v>
      </c>
      <c r="N317" s="12">
        <f>(Table1[[#This Row],[Quantity]]*Table1[[#This Row],[Unit Price]])*(1-Table1[[#This Row],[Discount]])</f>
        <v>203.1755</v>
      </c>
      <c r="O317" s="12">
        <f>(Table1[[#This Row],[Unit Price]]-Table1[[#This Row],[Unit Cost]])*Table1[[#This Row],[Quantity]]</f>
        <v>65.67</v>
      </c>
      <c r="P317" s="17" t="str">
        <f t="shared" si="4"/>
        <v>Bulk</v>
      </c>
      <c r="Q317" t="str">
        <f>IF(Table1[[#This Row],[Discount]]&gt;=15%,"HIGH",IF(Table1[[#This Row],[Discount]]&gt;=55,"MEDIUM","NONE"))</f>
        <v>HIGH</v>
      </c>
      <c r="R317">
        <f>Table1[[#This Row],[Ship Date]]-Table1[[#This Row],[Order Date]]</f>
        <v>0</v>
      </c>
    </row>
    <row r="318" spans="1:18" x14ac:dyDescent="0.25">
      <c r="A318" s="3" t="s">
        <v>757</v>
      </c>
      <c r="B318" s="2" t="s">
        <v>758</v>
      </c>
      <c r="C318" s="2" t="s">
        <v>758</v>
      </c>
      <c r="D318" s="1" t="s">
        <v>24</v>
      </c>
      <c r="E318" s="1" t="s">
        <v>55</v>
      </c>
      <c r="F318" s="1" t="s">
        <v>18</v>
      </c>
      <c r="G318" s="1" t="s">
        <v>50</v>
      </c>
      <c r="H318" s="1" t="s">
        <v>45</v>
      </c>
      <c r="I318" s="1" t="s">
        <v>143</v>
      </c>
      <c r="J318" s="1">
        <v>20</v>
      </c>
      <c r="K318" s="15">
        <v>100.38</v>
      </c>
      <c r="L318" s="13">
        <v>0.15</v>
      </c>
      <c r="M318" s="10">
        <v>78.66</v>
      </c>
      <c r="N318" s="12">
        <f>(Table1[[#This Row],[Quantity]]*Table1[[#This Row],[Unit Price]])*(1-Table1[[#This Row],[Discount]])</f>
        <v>1706.4599999999998</v>
      </c>
      <c r="O318" s="12">
        <f>(Table1[[#This Row],[Unit Price]]-Table1[[#This Row],[Unit Cost]])*Table1[[#This Row],[Quantity]]</f>
        <v>434.4</v>
      </c>
      <c r="P318" s="17" t="str">
        <f t="shared" si="4"/>
        <v>Bulk</v>
      </c>
      <c r="Q318" t="str">
        <f>IF(Table1[[#This Row],[Discount]]&gt;=15%,"HIGH",IF(Table1[[#This Row],[Discount]]&gt;=55,"MEDIUM","NONE"))</f>
        <v>HIGH</v>
      </c>
      <c r="R318">
        <f>Table1[[#This Row],[Ship Date]]-Table1[[#This Row],[Order Date]]</f>
        <v>0</v>
      </c>
    </row>
    <row r="319" spans="1:18" x14ac:dyDescent="0.25">
      <c r="A319" s="3" t="s">
        <v>759</v>
      </c>
      <c r="B319" s="2" t="s">
        <v>179</v>
      </c>
      <c r="C319" s="2" t="s">
        <v>180</v>
      </c>
      <c r="D319" s="1" t="s">
        <v>30</v>
      </c>
      <c r="E319" s="1" t="s">
        <v>17</v>
      </c>
      <c r="F319" s="1" t="s">
        <v>18</v>
      </c>
      <c r="G319" s="1" t="s">
        <v>32</v>
      </c>
      <c r="H319" s="1" t="s">
        <v>20</v>
      </c>
      <c r="I319" s="1" t="s">
        <v>139</v>
      </c>
      <c r="J319" s="1">
        <v>2</v>
      </c>
      <c r="K319" s="15">
        <v>632.97</v>
      </c>
      <c r="L319" s="13">
        <v>0.1</v>
      </c>
      <c r="M319" s="10">
        <v>449.93</v>
      </c>
      <c r="N319" s="12">
        <f>(Table1[[#This Row],[Quantity]]*Table1[[#This Row],[Unit Price]])*(1-Table1[[#This Row],[Discount]])</f>
        <v>1139.346</v>
      </c>
      <c r="O319" s="12">
        <f>(Table1[[#This Row],[Unit Price]]-Table1[[#This Row],[Unit Cost]])*Table1[[#This Row],[Quantity]]</f>
        <v>366.08000000000004</v>
      </c>
      <c r="P319" s="17" t="str">
        <f t="shared" si="4"/>
        <v>Bulk</v>
      </c>
      <c r="Q319" t="str">
        <f>IF(Table1[[#This Row],[Discount]]&gt;=15%,"HIGH",IF(Table1[[#This Row],[Discount]]&gt;=55,"MEDIUM","NONE"))</f>
        <v>NONE</v>
      </c>
      <c r="R319">
        <f>Table1[[#This Row],[Ship Date]]-Table1[[#This Row],[Order Date]]</f>
        <v>2</v>
      </c>
    </row>
    <row r="320" spans="1:18" x14ac:dyDescent="0.25">
      <c r="A320" s="3" t="s">
        <v>760</v>
      </c>
      <c r="B320" s="2" t="s">
        <v>761</v>
      </c>
      <c r="C320" s="2" t="s">
        <v>639</v>
      </c>
      <c r="D320" s="1" t="s">
        <v>30</v>
      </c>
      <c r="E320" s="1" t="s">
        <v>75</v>
      </c>
      <c r="F320" s="1" t="s">
        <v>38</v>
      </c>
      <c r="G320" s="1" t="s">
        <v>67</v>
      </c>
      <c r="H320" s="1" t="s">
        <v>61</v>
      </c>
      <c r="I320" s="1" t="s">
        <v>62</v>
      </c>
      <c r="J320" s="1">
        <v>15</v>
      </c>
      <c r="K320" s="15">
        <v>35.28</v>
      </c>
      <c r="L320" s="13">
        <v>0.05</v>
      </c>
      <c r="M320" s="10">
        <v>25.98</v>
      </c>
      <c r="N320" s="12">
        <f>(Table1[[#This Row],[Quantity]]*Table1[[#This Row],[Unit Price]])*(1-Table1[[#This Row],[Discount]])</f>
        <v>502.74</v>
      </c>
      <c r="O320" s="12">
        <f>(Table1[[#This Row],[Unit Price]]-Table1[[#This Row],[Unit Cost]])*Table1[[#This Row],[Quantity]]</f>
        <v>139.5</v>
      </c>
      <c r="P320" s="17" t="str">
        <f t="shared" si="4"/>
        <v>Standard</v>
      </c>
      <c r="Q320" t="str">
        <f>IF(Table1[[#This Row],[Discount]]&gt;=15%,"HIGH",IF(Table1[[#This Row],[Discount]]&gt;=55,"MEDIUM","NONE"))</f>
        <v>NONE</v>
      </c>
      <c r="R320">
        <f>Table1[[#This Row],[Ship Date]]-Table1[[#This Row],[Order Date]]</f>
        <v>2</v>
      </c>
    </row>
    <row r="321" spans="1:18" x14ac:dyDescent="0.25">
      <c r="A321" s="3" t="s">
        <v>762</v>
      </c>
      <c r="B321" s="2" t="s">
        <v>164</v>
      </c>
      <c r="C321" s="2" t="s">
        <v>352</v>
      </c>
      <c r="D321" s="1" t="s">
        <v>16</v>
      </c>
      <c r="E321" s="1" t="s">
        <v>122</v>
      </c>
      <c r="F321" s="1" t="s">
        <v>38</v>
      </c>
      <c r="G321" s="1" t="s">
        <v>26</v>
      </c>
      <c r="H321" s="1" t="s">
        <v>61</v>
      </c>
      <c r="I321" s="1" t="s">
        <v>106</v>
      </c>
      <c r="J321" s="1">
        <v>20</v>
      </c>
      <c r="K321" s="15">
        <v>87.05</v>
      </c>
      <c r="L321" s="13">
        <v>0.15</v>
      </c>
      <c r="M321" s="10">
        <v>54.51</v>
      </c>
      <c r="N321" s="12">
        <f>(Table1[[#This Row],[Quantity]]*Table1[[#This Row],[Unit Price]])*(1-Table1[[#This Row],[Discount]])</f>
        <v>1479.85</v>
      </c>
      <c r="O321" s="12">
        <f>(Table1[[#This Row],[Unit Price]]-Table1[[#This Row],[Unit Cost]])*Table1[[#This Row],[Quantity]]</f>
        <v>650.79999999999995</v>
      </c>
      <c r="P321" s="17" t="str">
        <f t="shared" si="4"/>
        <v>Bulk</v>
      </c>
      <c r="Q321" t="str">
        <f>IF(Table1[[#This Row],[Discount]]&gt;=15%,"HIGH",IF(Table1[[#This Row],[Discount]]&gt;=55,"MEDIUM","NONE"))</f>
        <v>HIGH</v>
      </c>
      <c r="R321">
        <f>Table1[[#This Row],[Ship Date]]-Table1[[#This Row],[Order Date]]</f>
        <v>5</v>
      </c>
    </row>
    <row r="322" spans="1:18" x14ac:dyDescent="0.25">
      <c r="A322" s="3" t="s">
        <v>763</v>
      </c>
      <c r="B322" s="2" t="s">
        <v>764</v>
      </c>
      <c r="C322" s="2" t="s">
        <v>764</v>
      </c>
      <c r="D322" s="1" t="s">
        <v>24</v>
      </c>
      <c r="E322" s="1" t="s">
        <v>75</v>
      </c>
      <c r="F322" s="1" t="s">
        <v>25</v>
      </c>
      <c r="G322" s="1" t="s">
        <v>32</v>
      </c>
      <c r="H322" s="1" t="s">
        <v>33</v>
      </c>
      <c r="I322" s="1" t="s">
        <v>34</v>
      </c>
      <c r="J322" s="1">
        <v>25</v>
      </c>
      <c r="K322" s="15">
        <v>25.55</v>
      </c>
      <c r="L322" s="13">
        <v>0.05</v>
      </c>
      <c r="M322" s="10">
        <v>18.63</v>
      </c>
      <c r="N322" s="12">
        <f>(Table1[[#This Row],[Quantity]]*Table1[[#This Row],[Unit Price]])*(1-Table1[[#This Row],[Discount]])</f>
        <v>606.8125</v>
      </c>
      <c r="O322" s="12">
        <f>(Table1[[#This Row],[Unit Price]]-Table1[[#This Row],[Unit Cost]])*Table1[[#This Row],[Quantity]]</f>
        <v>173.00000000000006</v>
      </c>
      <c r="P322" s="17" t="str">
        <f t="shared" ref="P322:P385" si="5">IF(J321&gt;10,"Bulk","Standard")</f>
        <v>Bulk</v>
      </c>
      <c r="Q322" t="str">
        <f>IF(Table1[[#This Row],[Discount]]&gt;=15%,"HIGH",IF(Table1[[#This Row],[Discount]]&gt;=55,"MEDIUM","NONE"))</f>
        <v>NONE</v>
      </c>
      <c r="R322">
        <f>Table1[[#This Row],[Ship Date]]-Table1[[#This Row],[Order Date]]</f>
        <v>0</v>
      </c>
    </row>
    <row r="323" spans="1:18" x14ac:dyDescent="0.25">
      <c r="A323" s="3" t="s">
        <v>765</v>
      </c>
      <c r="B323" s="2" t="s">
        <v>766</v>
      </c>
      <c r="C323" s="2" t="s">
        <v>145</v>
      </c>
      <c r="D323" s="1" t="s">
        <v>30</v>
      </c>
      <c r="E323" s="1" t="s">
        <v>91</v>
      </c>
      <c r="F323" s="1" t="s">
        <v>25</v>
      </c>
      <c r="G323" s="1" t="s">
        <v>32</v>
      </c>
      <c r="H323" s="1" t="s">
        <v>20</v>
      </c>
      <c r="I323" s="1" t="s">
        <v>151</v>
      </c>
      <c r="J323" s="1">
        <v>21</v>
      </c>
      <c r="K323" s="15">
        <v>1159.0999999999999</v>
      </c>
      <c r="L323" s="13">
        <v>0</v>
      </c>
      <c r="M323" s="10">
        <v>796.21</v>
      </c>
      <c r="N323" s="12">
        <f>(Table1[[#This Row],[Quantity]]*Table1[[#This Row],[Unit Price]])*(1-Table1[[#This Row],[Discount]])</f>
        <v>24341.1</v>
      </c>
      <c r="O323" s="12">
        <f>(Table1[[#This Row],[Unit Price]]-Table1[[#This Row],[Unit Cost]])*Table1[[#This Row],[Quantity]]</f>
        <v>7620.6899999999969</v>
      </c>
      <c r="P323" s="17" t="str">
        <f t="shared" si="5"/>
        <v>Bulk</v>
      </c>
      <c r="Q323" t="str">
        <f>IF(Table1[[#This Row],[Discount]]&gt;=15%,"HIGH",IF(Table1[[#This Row],[Discount]]&gt;=55,"MEDIUM","NONE"))</f>
        <v>NONE</v>
      </c>
      <c r="R323">
        <f>Table1[[#This Row],[Ship Date]]-Table1[[#This Row],[Order Date]]</f>
        <v>2</v>
      </c>
    </row>
    <row r="324" spans="1:18" x14ac:dyDescent="0.25">
      <c r="A324" s="3" t="s">
        <v>767</v>
      </c>
      <c r="B324" s="2" t="s">
        <v>768</v>
      </c>
      <c r="C324" s="2" t="s">
        <v>769</v>
      </c>
      <c r="D324" s="1" t="s">
        <v>30</v>
      </c>
      <c r="E324" s="1" t="s">
        <v>31</v>
      </c>
      <c r="F324" s="1" t="s">
        <v>25</v>
      </c>
      <c r="G324" s="1" t="s">
        <v>67</v>
      </c>
      <c r="H324" s="1" t="s">
        <v>45</v>
      </c>
      <c r="I324" s="1" t="s">
        <v>143</v>
      </c>
      <c r="J324" s="1">
        <v>20</v>
      </c>
      <c r="K324" s="15">
        <v>204.98</v>
      </c>
      <c r="L324" s="13">
        <v>0</v>
      </c>
      <c r="M324" s="10">
        <v>160.41</v>
      </c>
      <c r="N324" s="12">
        <f>(Table1[[#This Row],[Quantity]]*Table1[[#This Row],[Unit Price]])*(1-Table1[[#This Row],[Discount]])</f>
        <v>4099.5999999999995</v>
      </c>
      <c r="O324" s="12">
        <f>(Table1[[#This Row],[Unit Price]]-Table1[[#This Row],[Unit Cost]])*Table1[[#This Row],[Quantity]]</f>
        <v>891.39999999999986</v>
      </c>
      <c r="P324" s="17" t="str">
        <f t="shared" si="5"/>
        <v>Bulk</v>
      </c>
      <c r="Q324" t="str">
        <f>IF(Table1[[#This Row],[Discount]]&gt;=15%,"HIGH",IF(Table1[[#This Row],[Discount]]&gt;=55,"MEDIUM","NONE"))</f>
        <v>NONE</v>
      </c>
      <c r="R324">
        <f>Table1[[#This Row],[Ship Date]]-Table1[[#This Row],[Order Date]]</f>
        <v>2</v>
      </c>
    </row>
    <row r="325" spans="1:18" x14ac:dyDescent="0.25">
      <c r="A325" s="3" t="s">
        <v>770</v>
      </c>
      <c r="B325" s="2" t="s">
        <v>621</v>
      </c>
      <c r="C325" s="2" t="s">
        <v>621</v>
      </c>
      <c r="D325" s="1" t="s">
        <v>24</v>
      </c>
      <c r="E325" s="1" t="s">
        <v>31</v>
      </c>
      <c r="F325" s="1" t="s">
        <v>43</v>
      </c>
      <c r="G325" s="1" t="s">
        <v>26</v>
      </c>
      <c r="H325" s="1" t="s">
        <v>45</v>
      </c>
      <c r="I325" s="1" t="s">
        <v>148</v>
      </c>
      <c r="J325" s="1">
        <v>22</v>
      </c>
      <c r="K325" s="15">
        <v>495.72</v>
      </c>
      <c r="L325" s="13">
        <v>0.2</v>
      </c>
      <c r="M325" s="10">
        <v>383.16</v>
      </c>
      <c r="N325" s="12">
        <f>(Table1[[#This Row],[Quantity]]*Table1[[#This Row],[Unit Price]])*(1-Table1[[#This Row],[Discount]])</f>
        <v>8724.6720000000005</v>
      </c>
      <c r="O325" s="12">
        <f>(Table1[[#This Row],[Unit Price]]-Table1[[#This Row],[Unit Cost]])*Table1[[#This Row],[Quantity]]</f>
        <v>2476.3200000000002</v>
      </c>
      <c r="P325" s="17" t="str">
        <f t="shared" si="5"/>
        <v>Bulk</v>
      </c>
      <c r="Q325" t="str">
        <f>IF(Table1[[#This Row],[Discount]]&gt;=15%,"HIGH",IF(Table1[[#This Row],[Discount]]&gt;=55,"MEDIUM","NONE"))</f>
        <v>HIGH</v>
      </c>
      <c r="R325">
        <f>Table1[[#This Row],[Ship Date]]-Table1[[#This Row],[Order Date]]</f>
        <v>0</v>
      </c>
    </row>
    <row r="326" spans="1:18" x14ac:dyDescent="0.25">
      <c r="A326" s="3" t="s">
        <v>771</v>
      </c>
      <c r="B326" s="2" t="s">
        <v>653</v>
      </c>
      <c r="C326" s="2" t="s">
        <v>653</v>
      </c>
      <c r="D326" s="1" t="s">
        <v>24</v>
      </c>
      <c r="E326" s="1" t="s">
        <v>122</v>
      </c>
      <c r="F326" s="1" t="s">
        <v>43</v>
      </c>
      <c r="G326" s="1" t="s">
        <v>97</v>
      </c>
      <c r="H326" s="1" t="s">
        <v>20</v>
      </c>
      <c r="I326" s="1" t="s">
        <v>192</v>
      </c>
      <c r="J326" s="1">
        <v>16</v>
      </c>
      <c r="K326" s="15">
        <v>1113.03</v>
      </c>
      <c r="L326" s="13">
        <v>0.2</v>
      </c>
      <c r="M326" s="10">
        <v>868.49</v>
      </c>
      <c r="N326" s="12">
        <f>(Table1[[#This Row],[Quantity]]*Table1[[#This Row],[Unit Price]])*(1-Table1[[#This Row],[Discount]])</f>
        <v>14246.784</v>
      </c>
      <c r="O326" s="12">
        <f>(Table1[[#This Row],[Unit Price]]-Table1[[#This Row],[Unit Cost]])*Table1[[#This Row],[Quantity]]</f>
        <v>3912.6399999999994</v>
      </c>
      <c r="P326" s="17" t="str">
        <f t="shared" si="5"/>
        <v>Bulk</v>
      </c>
      <c r="Q326" t="str">
        <f>IF(Table1[[#This Row],[Discount]]&gt;=15%,"HIGH",IF(Table1[[#This Row],[Discount]]&gt;=55,"MEDIUM","NONE"))</f>
        <v>HIGH</v>
      </c>
      <c r="R326">
        <f>Table1[[#This Row],[Ship Date]]-Table1[[#This Row],[Order Date]]</f>
        <v>0</v>
      </c>
    </row>
    <row r="327" spans="1:18" x14ac:dyDescent="0.25">
      <c r="A327" s="3" t="s">
        <v>772</v>
      </c>
      <c r="B327" s="2" t="s">
        <v>773</v>
      </c>
      <c r="C327" s="2" t="s">
        <v>773</v>
      </c>
      <c r="D327" s="1" t="s">
        <v>24</v>
      </c>
      <c r="E327" s="1" t="s">
        <v>112</v>
      </c>
      <c r="F327" s="1" t="s">
        <v>38</v>
      </c>
      <c r="G327" s="1" t="s">
        <v>32</v>
      </c>
      <c r="H327" s="1" t="s">
        <v>20</v>
      </c>
      <c r="I327" s="1" t="s">
        <v>139</v>
      </c>
      <c r="J327" s="1">
        <v>13</v>
      </c>
      <c r="K327" s="15">
        <v>531.46</v>
      </c>
      <c r="L327" s="13">
        <v>0.1</v>
      </c>
      <c r="M327" s="10">
        <v>414</v>
      </c>
      <c r="N327" s="12">
        <f>(Table1[[#This Row],[Quantity]]*Table1[[#This Row],[Unit Price]])*(1-Table1[[#This Row],[Discount]])</f>
        <v>6218.0820000000003</v>
      </c>
      <c r="O327" s="12">
        <f>(Table1[[#This Row],[Unit Price]]-Table1[[#This Row],[Unit Cost]])*Table1[[#This Row],[Quantity]]</f>
        <v>1526.9800000000005</v>
      </c>
      <c r="P327" s="17" t="str">
        <f t="shared" si="5"/>
        <v>Bulk</v>
      </c>
      <c r="Q327" t="str">
        <f>IF(Table1[[#This Row],[Discount]]&gt;=15%,"HIGH",IF(Table1[[#This Row],[Discount]]&gt;=55,"MEDIUM","NONE"))</f>
        <v>NONE</v>
      </c>
      <c r="R327">
        <f>Table1[[#This Row],[Ship Date]]-Table1[[#This Row],[Order Date]]</f>
        <v>0</v>
      </c>
    </row>
    <row r="328" spans="1:18" x14ac:dyDescent="0.25">
      <c r="A328" s="3" t="s">
        <v>774</v>
      </c>
      <c r="B328" s="2" t="s">
        <v>775</v>
      </c>
      <c r="C328" s="2" t="s">
        <v>163</v>
      </c>
      <c r="D328" s="1" t="s">
        <v>30</v>
      </c>
      <c r="E328" s="1" t="s">
        <v>59</v>
      </c>
      <c r="F328" s="1" t="s">
        <v>60</v>
      </c>
      <c r="G328" s="1" t="s">
        <v>50</v>
      </c>
      <c r="H328" s="1" t="s">
        <v>33</v>
      </c>
      <c r="I328" s="1" t="s">
        <v>39</v>
      </c>
      <c r="J328" s="1">
        <v>20</v>
      </c>
      <c r="K328" s="15">
        <v>28.6</v>
      </c>
      <c r="L328" s="13">
        <v>0.15</v>
      </c>
      <c r="M328" s="10">
        <v>19.39</v>
      </c>
      <c r="N328" s="12">
        <f>(Table1[[#This Row],[Quantity]]*Table1[[#This Row],[Unit Price]])*(1-Table1[[#This Row],[Discount]])</f>
        <v>486.2</v>
      </c>
      <c r="O328" s="12">
        <f>(Table1[[#This Row],[Unit Price]]-Table1[[#This Row],[Unit Cost]])*Table1[[#This Row],[Quantity]]</f>
        <v>184.20000000000002</v>
      </c>
      <c r="P328" s="17" t="str">
        <f t="shared" si="5"/>
        <v>Bulk</v>
      </c>
      <c r="Q328" t="str">
        <f>IF(Table1[[#This Row],[Discount]]&gt;=15%,"HIGH",IF(Table1[[#This Row],[Discount]]&gt;=55,"MEDIUM","NONE"))</f>
        <v>HIGH</v>
      </c>
      <c r="R328">
        <f>Table1[[#This Row],[Ship Date]]-Table1[[#This Row],[Order Date]]</f>
        <v>2</v>
      </c>
    </row>
    <row r="329" spans="1:18" x14ac:dyDescent="0.25">
      <c r="A329" s="3" t="s">
        <v>776</v>
      </c>
      <c r="B329" s="2" t="s">
        <v>725</v>
      </c>
      <c r="C329" s="2" t="s">
        <v>725</v>
      </c>
      <c r="D329" s="1" t="s">
        <v>24</v>
      </c>
      <c r="E329" s="1" t="s">
        <v>206</v>
      </c>
      <c r="F329" s="1" t="s">
        <v>18</v>
      </c>
      <c r="G329" s="1" t="s">
        <v>50</v>
      </c>
      <c r="H329" s="1" t="s">
        <v>45</v>
      </c>
      <c r="I329" s="1" t="s">
        <v>83</v>
      </c>
      <c r="J329" s="1">
        <v>21</v>
      </c>
      <c r="K329" s="15">
        <v>781.63</v>
      </c>
      <c r="L329" s="13">
        <v>0</v>
      </c>
      <c r="M329" s="10">
        <v>528.36</v>
      </c>
      <c r="N329" s="12">
        <f>(Table1[[#This Row],[Quantity]]*Table1[[#This Row],[Unit Price]])*(1-Table1[[#This Row],[Discount]])</f>
        <v>16414.23</v>
      </c>
      <c r="O329" s="12">
        <f>(Table1[[#This Row],[Unit Price]]-Table1[[#This Row],[Unit Cost]])*Table1[[#This Row],[Quantity]]</f>
        <v>5318.67</v>
      </c>
      <c r="P329" s="17" t="str">
        <f t="shared" si="5"/>
        <v>Bulk</v>
      </c>
      <c r="Q329" t="str">
        <f>IF(Table1[[#This Row],[Discount]]&gt;=15%,"HIGH",IF(Table1[[#This Row],[Discount]]&gt;=55,"MEDIUM","NONE"))</f>
        <v>NONE</v>
      </c>
      <c r="R329">
        <f>Table1[[#This Row],[Ship Date]]-Table1[[#This Row],[Order Date]]</f>
        <v>0</v>
      </c>
    </row>
    <row r="330" spans="1:18" x14ac:dyDescent="0.25">
      <c r="A330" s="3" t="s">
        <v>777</v>
      </c>
      <c r="B330" s="2" t="s">
        <v>778</v>
      </c>
      <c r="C330" s="2" t="s">
        <v>516</v>
      </c>
      <c r="D330" s="1" t="s">
        <v>30</v>
      </c>
      <c r="E330" s="1" t="s">
        <v>31</v>
      </c>
      <c r="F330" s="1" t="s">
        <v>38</v>
      </c>
      <c r="G330" s="1" t="s">
        <v>44</v>
      </c>
      <c r="H330" s="1" t="s">
        <v>61</v>
      </c>
      <c r="I330" s="1" t="s">
        <v>72</v>
      </c>
      <c r="J330" s="1">
        <v>1</v>
      </c>
      <c r="K330" s="15">
        <v>51.82</v>
      </c>
      <c r="L330" s="13">
        <v>0</v>
      </c>
      <c r="M330" s="10">
        <v>33.44</v>
      </c>
      <c r="N330" s="12">
        <f>(Table1[[#This Row],[Quantity]]*Table1[[#This Row],[Unit Price]])*(1-Table1[[#This Row],[Discount]])</f>
        <v>51.82</v>
      </c>
      <c r="O330" s="12">
        <f>(Table1[[#This Row],[Unit Price]]-Table1[[#This Row],[Unit Cost]])*Table1[[#This Row],[Quantity]]</f>
        <v>18.380000000000003</v>
      </c>
      <c r="P330" s="17" t="str">
        <f t="shared" si="5"/>
        <v>Bulk</v>
      </c>
      <c r="Q330" t="str">
        <f>IF(Table1[[#This Row],[Discount]]&gt;=15%,"HIGH",IF(Table1[[#This Row],[Discount]]&gt;=55,"MEDIUM","NONE"))</f>
        <v>NONE</v>
      </c>
      <c r="R330">
        <f>Table1[[#This Row],[Ship Date]]-Table1[[#This Row],[Order Date]]</f>
        <v>2</v>
      </c>
    </row>
    <row r="331" spans="1:18" x14ac:dyDescent="0.25">
      <c r="A331" s="3" t="s">
        <v>779</v>
      </c>
      <c r="B331" s="2" t="s">
        <v>780</v>
      </c>
      <c r="C331" s="2" t="s">
        <v>437</v>
      </c>
      <c r="D331" s="1" t="s">
        <v>16</v>
      </c>
      <c r="E331" s="1" t="s">
        <v>37</v>
      </c>
      <c r="F331" s="1" t="s">
        <v>18</v>
      </c>
      <c r="G331" s="1" t="s">
        <v>50</v>
      </c>
      <c r="H331" s="1" t="s">
        <v>33</v>
      </c>
      <c r="I331" s="1" t="s">
        <v>51</v>
      </c>
      <c r="J331" s="1">
        <v>23</v>
      </c>
      <c r="K331" s="15">
        <v>31.81</v>
      </c>
      <c r="L331" s="13">
        <v>0</v>
      </c>
      <c r="M331" s="10">
        <v>23.49</v>
      </c>
      <c r="N331" s="12">
        <f>(Table1[[#This Row],[Quantity]]*Table1[[#This Row],[Unit Price]])*(1-Table1[[#This Row],[Discount]])</f>
        <v>731.63</v>
      </c>
      <c r="O331" s="12">
        <f>(Table1[[#This Row],[Unit Price]]-Table1[[#This Row],[Unit Cost]])*Table1[[#This Row],[Quantity]]</f>
        <v>191.36</v>
      </c>
      <c r="P331" s="17" t="str">
        <f t="shared" si="5"/>
        <v>Standard</v>
      </c>
      <c r="Q331" t="str">
        <f>IF(Table1[[#This Row],[Discount]]&gt;=15%,"HIGH",IF(Table1[[#This Row],[Discount]]&gt;=55,"MEDIUM","NONE"))</f>
        <v>NONE</v>
      </c>
      <c r="R331">
        <f>Table1[[#This Row],[Ship Date]]-Table1[[#This Row],[Order Date]]</f>
        <v>4</v>
      </c>
    </row>
    <row r="332" spans="1:18" x14ac:dyDescent="0.25">
      <c r="A332" s="3" t="s">
        <v>781</v>
      </c>
      <c r="B332" s="2" t="s">
        <v>373</v>
      </c>
      <c r="C332" s="2" t="s">
        <v>273</v>
      </c>
      <c r="D332" s="1" t="s">
        <v>16</v>
      </c>
      <c r="E332" s="1" t="s">
        <v>17</v>
      </c>
      <c r="F332" s="1" t="s">
        <v>38</v>
      </c>
      <c r="G332" s="1" t="s">
        <v>97</v>
      </c>
      <c r="H332" s="1" t="s">
        <v>20</v>
      </c>
      <c r="I332" s="1" t="s">
        <v>192</v>
      </c>
      <c r="J332" s="1">
        <v>17</v>
      </c>
      <c r="K332" s="15">
        <v>951.95</v>
      </c>
      <c r="L332" s="13">
        <v>0.2</v>
      </c>
      <c r="M332" s="10">
        <v>689.24</v>
      </c>
      <c r="N332" s="12">
        <f>(Table1[[#This Row],[Quantity]]*Table1[[#This Row],[Unit Price]])*(1-Table1[[#This Row],[Discount]])</f>
        <v>12946.520000000002</v>
      </c>
      <c r="O332" s="12">
        <f>(Table1[[#This Row],[Unit Price]]-Table1[[#This Row],[Unit Cost]])*Table1[[#This Row],[Quantity]]</f>
        <v>4466.0700000000006</v>
      </c>
      <c r="P332" s="17" t="str">
        <f t="shared" si="5"/>
        <v>Bulk</v>
      </c>
      <c r="Q332" t="str">
        <f>IF(Table1[[#This Row],[Discount]]&gt;=15%,"HIGH",IF(Table1[[#This Row],[Discount]]&gt;=55,"MEDIUM","NONE"))</f>
        <v>HIGH</v>
      </c>
      <c r="R332">
        <f>Table1[[#This Row],[Ship Date]]-Table1[[#This Row],[Order Date]]</f>
        <v>4</v>
      </c>
    </row>
    <row r="333" spans="1:18" x14ac:dyDescent="0.25">
      <c r="A333" s="3" t="s">
        <v>782</v>
      </c>
      <c r="B333" s="2" t="s">
        <v>783</v>
      </c>
      <c r="C333" s="2" t="s">
        <v>783</v>
      </c>
      <c r="D333" s="1" t="s">
        <v>24</v>
      </c>
      <c r="E333" s="1" t="s">
        <v>133</v>
      </c>
      <c r="F333" s="1" t="s">
        <v>38</v>
      </c>
      <c r="G333" s="1" t="s">
        <v>26</v>
      </c>
      <c r="H333" s="1" t="s">
        <v>61</v>
      </c>
      <c r="I333" s="1" t="s">
        <v>169</v>
      </c>
      <c r="J333" s="1">
        <v>9</v>
      </c>
      <c r="K333" s="15">
        <v>26.25</v>
      </c>
      <c r="L333" s="13">
        <v>0.2</v>
      </c>
      <c r="M333" s="10">
        <v>19.559999999999999</v>
      </c>
      <c r="N333" s="12">
        <f>(Table1[[#This Row],[Quantity]]*Table1[[#This Row],[Unit Price]])*(1-Table1[[#This Row],[Discount]])</f>
        <v>189</v>
      </c>
      <c r="O333" s="12">
        <f>(Table1[[#This Row],[Unit Price]]-Table1[[#This Row],[Unit Cost]])*Table1[[#This Row],[Quantity]]</f>
        <v>60.210000000000008</v>
      </c>
      <c r="P333" s="17" t="str">
        <f t="shared" si="5"/>
        <v>Bulk</v>
      </c>
      <c r="Q333" t="str">
        <f>IF(Table1[[#This Row],[Discount]]&gt;=15%,"HIGH",IF(Table1[[#This Row],[Discount]]&gt;=55,"MEDIUM","NONE"))</f>
        <v>HIGH</v>
      </c>
      <c r="R333">
        <f>Table1[[#This Row],[Ship Date]]-Table1[[#This Row],[Order Date]]</f>
        <v>0</v>
      </c>
    </row>
    <row r="334" spans="1:18" x14ac:dyDescent="0.25">
      <c r="A334" s="3" t="s">
        <v>784</v>
      </c>
      <c r="B334" s="2" t="s">
        <v>588</v>
      </c>
      <c r="C334" s="2" t="s">
        <v>588</v>
      </c>
      <c r="D334" s="1" t="s">
        <v>24</v>
      </c>
      <c r="E334" s="1" t="s">
        <v>112</v>
      </c>
      <c r="F334" s="1" t="s">
        <v>38</v>
      </c>
      <c r="G334" s="1" t="s">
        <v>19</v>
      </c>
      <c r="H334" s="1" t="s">
        <v>33</v>
      </c>
      <c r="I334" s="1" t="s">
        <v>153</v>
      </c>
      <c r="J334" s="1">
        <v>7</v>
      </c>
      <c r="K334" s="15">
        <v>13.18</v>
      </c>
      <c r="L334" s="13">
        <v>0</v>
      </c>
      <c r="M334" s="10">
        <v>10.49</v>
      </c>
      <c r="N334" s="12">
        <f>(Table1[[#This Row],[Quantity]]*Table1[[#This Row],[Unit Price]])*(1-Table1[[#This Row],[Discount]])</f>
        <v>92.259999999999991</v>
      </c>
      <c r="O334" s="12">
        <f>(Table1[[#This Row],[Unit Price]]-Table1[[#This Row],[Unit Cost]])*Table1[[#This Row],[Quantity]]</f>
        <v>18.829999999999998</v>
      </c>
      <c r="P334" s="17" t="str">
        <f t="shared" si="5"/>
        <v>Standard</v>
      </c>
      <c r="Q334" t="str">
        <f>IF(Table1[[#This Row],[Discount]]&gt;=15%,"HIGH",IF(Table1[[#This Row],[Discount]]&gt;=55,"MEDIUM","NONE"))</f>
        <v>NONE</v>
      </c>
      <c r="R334">
        <f>Table1[[#This Row],[Ship Date]]-Table1[[#This Row],[Order Date]]</f>
        <v>0</v>
      </c>
    </row>
    <row r="335" spans="1:18" x14ac:dyDescent="0.25">
      <c r="A335" s="3" t="s">
        <v>785</v>
      </c>
      <c r="B335" s="2" t="s">
        <v>269</v>
      </c>
      <c r="C335" s="2" t="s">
        <v>269</v>
      </c>
      <c r="D335" s="1" t="s">
        <v>24</v>
      </c>
      <c r="E335" s="1" t="s">
        <v>31</v>
      </c>
      <c r="F335" s="1" t="s">
        <v>43</v>
      </c>
      <c r="G335" s="1" t="s">
        <v>44</v>
      </c>
      <c r="H335" s="1" t="s">
        <v>20</v>
      </c>
      <c r="I335" s="1" t="s">
        <v>139</v>
      </c>
      <c r="J335" s="1">
        <v>9</v>
      </c>
      <c r="K335" s="15">
        <v>199.58</v>
      </c>
      <c r="L335" s="13">
        <v>0.1</v>
      </c>
      <c r="M335" s="10">
        <v>151.97999999999999</v>
      </c>
      <c r="N335" s="12">
        <f>(Table1[[#This Row],[Quantity]]*Table1[[#This Row],[Unit Price]])*(1-Table1[[#This Row],[Discount]])</f>
        <v>1616.598</v>
      </c>
      <c r="O335" s="12">
        <f>(Table1[[#This Row],[Unit Price]]-Table1[[#This Row],[Unit Cost]])*Table1[[#This Row],[Quantity]]</f>
        <v>428.4000000000002</v>
      </c>
      <c r="P335" s="17" t="str">
        <f t="shared" si="5"/>
        <v>Standard</v>
      </c>
      <c r="Q335" t="str">
        <f>IF(Table1[[#This Row],[Discount]]&gt;=15%,"HIGH",IF(Table1[[#This Row],[Discount]]&gt;=55,"MEDIUM","NONE"))</f>
        <v>NONE</v>
      </c>
      <c r="R335">
        <f>Table1[[#This Row],[Ship Date]]-Table1[[#This Row],[Order Date]]</f>
        <v>0</v>
      </c>
    </row>
    <row r="336" spans="1:18" x14ac:dyDescent="0.25">
      <c r="A336" s="3" t="s">
        <v>786</v>
      </c>
      <c r="B336" s="2" t="s">
        <v>787</v>
      </c>
      <c r="C336" s="2" t="s">
        <v>787</v>
      </c>
      <c r="D336" s="1" t="s">
        <v>24</v>
      </c>
      <c r="E336" s="1" t="s">
        <v>117</v>
      </c>
      <c r="F336" s="1" t="s">
        <v>25</v>
      </c>
      <c r="G336" s="1" t="s">
        <v>26</v>
      </c>
      <c r="H336" s="1" t="s">
        <v>45</v>
      </c>
      <c r="I336" s="1" t="s">
        <v>46</v>
      </c>
      <c r="J336" s="1">
        <v>20</v>
      </c>
      <c r="K336" s="15">
        <v>683.92</v>
      </c>
      <c r="L336" s="13">
        <v>0</v>
      </c>
      <c r="M336" s="10">
        <v>460.03</v>
      </c>
      <c r="N336" s="12">
        <f>(Table1[[#This Row],[Quantity]]*Table1[[#This Row],[Unit Price]])*(1-Table1[[#This Row],[Discount]])</f>
        <v>13678.4</v>
      </c>
      <c r="O336" s="12">
        <f>(Table1[[#This Row],[Unit Price]]-Table1[[#This Row],[Unit Cost]])*Table1[[#This Row],[Quantity]]</f>
        <v>4477.7999999999993</v>
      </c>
      <c r="P336" s="17" t="str">
        <f t="shared" si="5"/>
        <v>Standard</v>
      </c>
      <c r="Q336" t="str">
        <f>IF(Table1[[#This Row],[Discount]]&gt;=15%,"HIGH",IF(Table1[[#This Row],[Discount]]&gt;=55,"MEDIUM","NONE"))</f>
        <v>NONE</v>
      </c>
      <c r="R336">
        <f>Table1[[#This Row],[Ship Date]]-Table1[[#This Row],[Order Date]]</f>
        <v>0</v>
      </c>
    </row>
    <row r="337" spans="1:18" x14ac:dyDescent="0.25">
      <c r="A337" s="3" t="s">
        <v>788</v>
      </c>
      <c r="B337" s="2" t="s">
        <v>197</v>
      </c>
      <c r="C337" s="2" t="s">
        <v>197</v>
      </c>
      <c r="D337" s="1" t="s">
        <v>24</v>
      </c>
      <c r="E337" s="1" t="s">
        <v>78</v>
      </c>
      <c r="F337" s="1" t="s">
        <v>25</v>
      </c>
      <c r="G337" s="1" t="s">
        <v>67</v>
      </c>
      <c r="H337" s="1" t="s">
        <v>33</v>
      </c>
      <c r="I337" s="1" t="s">
        <v>153</v>
      </c>
      <c r="J337" s="1">
        <v>6</v>
      </c>
      <c r="K337" s="15">
        <v>17.809999999999999</v>
      </c>
      <c r="L337" s="13">
        <v>0.1</v>
      </c>
      <c r="M337" s="10">
        <v>11.59</v>
      </c>
      <c r="N337" s="12">
        <f>(Table1[[#This Row],[Quantity]]*Table1[[#This Row],[Unit Price]])*(1-Table1[[#This Row],[Discount]])</f>
        <v>96.173999999999992</v>
      </c>
      <c r="O337" s="12">
        <f>(Table1[[#This Row],[Unit Price]]-Table1[[#This Row],[Unit Cost]])*Table1[[#This Row],[Quantity]]</f>
        <v>37.319999999999993</v>
      </c>
      <c r="P337" s="17" t="str">
        <f t="shared" si="5"/>
        <v>Bulk</v>
      </c>
      <c r="Q337" t="str">
        <f>IF(Table1[[#This Row],[Discount]]&gt;=15%,"HIGH",IF(Table1[[#This Row],[Discount]]&gt;=55,"MEDIUM","NONE"))</f>
        <v>NONE</v>
      </c>
      <c r="R337">
        <f>Table1[[#This Row],[Ship Date]]-Table1[[#This Row],[Order Date]]</f>
        <v>0</v>
      </c>
    </row>
    <row r="338" spans="1:18" x14ac:dyDescent="0.25">
      <c r="A338" s="3" t="s">
        <v>789</v>
      </c>
      <c r="B338" s="2" t="s">
        <v>604</v>
      </c>
      <c r="C338" s="2" t="s">
        <v>604</v>
      </c>
      <c r="D338" s="1" t="s">
        <v>24</v>
      </c>
      <c r="E338" s="1" t="s">
        <v>214</v>
      </c>
      <c r="F338" s="1" t="s">
        <v>18</v>
      </c>
      <c r="G338" s="1" t="s">
        <v>19</v>
      </c>
      <c r="H338" s="1" t="s">
        <v>33</v>
      </c>
      <c r="I338" s="1" t="s">
        <v>39</v>
      </c>
      <c r="J338" s="1">
        <v>17</v>
      </c>
      <c r="K338" s="15">
        <v>20.04</v>
      </c>
      <c r="L338" s="13">
        <v>0.1</v>
      </c>
      <c r="M338" s="10">
        <v>15.15</v>
      </c>
      <c r="N338" s="12">
        <f>(Table1[[#This Row],[Quantity]]*Table1[[#This Row],[Unit Price]])*(1-Table1[[#This Row],[Discount]])</f>
        <v>306.61200000000002</v>
      </c>
      <c r="O338" s="12">
        <f>(Table1[[#This Row],[Unit Price]]-Table1[[#This Row],[Unit Cost]])*Table1[[#This Row],[Quantity]]</f>
        <v>83.129999999999981</v>
      </c>
      <c r="P338" s="17" t="str">
        <f t="shared" si="5"/>
        <v>Standard</v>
      </c>
      <c r="Q338" t="str">
        <f>IF(Table1[[#This Row],[Discount]]&gt;=15%,"HIGH",IF(Table1[[#This Row],[Discount]]&gt;=55,"MEDIUM","NONE"))</f>
        <v>NONE</v>
      </c>
      <c r="R338">
        <f>Table1[[#This Row],[Ship Date]]-Table1[[#This Row],[Order Date]]</f>
        <v>0</v>
      </c>
    </row>
    <row r="339" spans="1:18" x14ac:dyDescent="0.25">
      <c r="A339" s="3" t="s">
        <v>790</v>
      </c>
      <c r="B339" s="2" t="s">
        <v>791</v>
      </c>
      <c r="C339" s="2" t="s">
        <v>293</v>
      </c>
      <c r="D339" s="1" t="s">
        <v>16</v>
      </c>
      <c r="E339" s="1" t="s">
        <v>112</v>
      </c>
      <c r="F339" s="1" t="s">
        <v>25</v>
      </c>
      <c r="G339" s="1" t="s">
        <v>19</v>
      </c>
      <c r="H339" s="1" t="s">
        <v>33</v>
      </c>
      <c r="I339" s="1" t="s">
        <v>76</v>
      </c>
      <c r="J339" s="1">
        <v>22</v>
      </c>
      <c r="K339" s="15">
        <v>35.659999999999997</v>
      </c>
      <c r="L339" s="13">
        <v>0.05</v>
      </c>
      <c r="M339" s="10">
        <v>27.78</v>
      </c>
      <c r="N339" s="12">
        <f>(Table1[[#This Row],[Quantity]]*Table1[[#This Row],[Unit Price]])*(1-Table1[[#This Row],[Discount]])</f>
        <v>745.29399999999998</v>
      </c>
      <c r="O339" s="12">
        <f>(Table1[[#This Row],[Unit Price]]-Table1[[#This Row],[Unit Cost]])*Table1[[#This Row],[Quantity]]</f>
        <v>173.3599999999999</v>
      </c>
      <c r="P339" s="17" t="str">
        <f t="shared" si="5"/>
        <v>Bulk</v>
      </c>
      <c r="Q339" t="str">
        <f>IF(Table1[[#This Row],[Discount]]&gt;=15%,"HIGH",IF(Table1[[#This Row],[Discount]]&gt;=55,"MEDIUM","NONE"))</f>
        <v>NONE</v>
      </c>
      <c r="R339">
        <f>Table1[[#This Row],[Ship Date]]-Table1[[#This Row],[Order Date]]</f>
        <v>4</v>
      </c>
    </row>
    <row r="340" spans="1:18" x14ac:dyDescent="0.25">
      <c r="A340" s="3" t="s">
        <v>792</v>
      </c>
      <c r="B340" s="2" t="s">
        <v>128</v>
      </c>
      <c r="C340" s="2" t="s">
        <v>793</v>
      </c>
      <c r="D340" s="1" t="s">
        <v>30</v>
      </c>
      <c r="E340" s="1" t="s">
        <v>206</v>
      </c>
      <c r="F340" s="1" t="s">
        <v>38</v>
      </c>
      <c r="G340" s="1" t="s">
        <v>82</v>
      </c>
      <c r="H340" s="1" t="s">
        <v>33</v>
      </c>
      <c r="I340" s="1" t="s">
        <v>34</v>
      </c>
      <c r="J340" s="1">
        <v>2</v>
      </c>
      <c r="K340" s="15">
        <v>13.26</v>
      </c>
      <c r="L340" s="13">
        <v>0.15</v>
      </c>
      <c r="M340" s="10">
        <v>7.93</v>
      </c>
      <c r="N340" s="12">
        <f>(Table1[[#This Row],[Quantity]]*Table1[[#This Row],[Unit Price]])*(1-Table1[[#This Row],[Discount]])</f>
        <v>22.541999999999998</v>
      </c>
      <c r="O340" s="12">
        <f>(Table1[[#This Row],[Unit Price]]-Table1[[#This Row],[Unit Cost]])*Table1[[#This Row],[Quantity]]</f>
        <v>10.66</v>
      </c>
      <c r="P340" s="17" t="str">
        <f t="shared" si="5"/>
        <v>Bulk</v>
      </c>
      <c r="Q340" t="str">
        <f>IF(Table1[[#This Row],[Discount]]&gt;=15%,"HIGH",IF(Table1[[#This Row],[Discount]]&gt;=55,"MEDIUM","NONE"))</f>
        <v>HIGH</v>
      </c>
      <c r="R340">
        <f>Table1[[#This Row],[Ship Date]]-Table1[[#This Row],[Order Date]]</f>
        <v>2</v>
      </c>
    </row>
    <row r="341" spans="1:18" x14ac:dyDescent="0.25">
      <c r="A341" s="3" t="s">
        <v>794</v>
      </c>
      <c r="B341" s="2" t="s">
        <v>180</v>
      </c>
      <c r="C341" s="2" t="s">
        <v>180</v>
      </c>
      <c r="D341" s="1" t="s">
        <v>24</v>
      </c>
      <c r="E341" s="1" t="s">
        <v>87</v>
      </c>
      <c r="F341" s="1" t="s">
        <v>43</v>
      </c>
      <c r="G341" s="1" t="s">
        <v>19</v>
      </c>
      <c r="H341" s="1" t="s">
        <v>20</v>
      </c>
      <c r="I341" s="1" t="s">
        <v>151</v>
      </c>
      <c r="J341" s="1">
        <v>14</v>
      </c>
      <c r="K341" s="15">
        <v>1011.01</v>
      </c>
      <c r="L341" s="13">
        <v>0</v>
      </c>
      <c r="M341" s="10">
        <v>691.97</v>
      </c>
      <c r="N341" s="12">
        <f>(Table1[[#This Row],[Quantity]]*Table1[[#This Row],[Unit Price]])*(1-Table1[[#This Row],[Discount]])</f>
        <v>14154.14</v>
      </c>
      <c r="O341" s="12">
        <f>(Table1[[#This Row],[Unit Price]]-Table1[[#This Row],[Unit Cost]])*Table1[[#This Row],[Quantity]]</f>
        <v>4466.5599999999995</v>
      </c>
      <c r="P341" s="17" t="str">
        <f t="shared" si="5"/>
        <v>Standard</v>
      </c>
      <c r="Q341" t="str">
        <f>IF(Table1[[#This Row],[Discount]]&gt;=15%,"HIGH",IF(Table1[[#This Row],[Discount]]&gt;=55,"MEDIUM","NONE"))</f>
        <v>NONE</v>
      </c>
      <c r="R341">
        <f>Table1[[#This Row],[Ship Date]]-Table1[[#This Row],[Order Date]]</f>
        <v>0</v>
      </c>
    </row>
    <row r="342" spans="1:18" x14ac:dyDescent="0.25">
      <c r="A342" s="3" t="s">
        <v>795</v>
      </c>
      <c r="B342" s="2" t="s">
        <v>651</v>
      </c>
      <c r="C342" s="2" t="s">
        <v>796</v>
      </c>
      <c r="D342" s="1" t="s">
        <v>16</v>
      </c>
      <c r="E342" s="1" t="s">
        <v>117</v>
      </c>
      <c r="F342" s="1" t="s">
        <v>60</v>
      </c>
      <c r="G342" s="1" t="s">
        <v>26</v>
      </c>
      <c r="H342" s="1" t="s">
        <v>45</v>
      </c>
      <c r="I342" s="1" t="s">
        <v>46</v>
      </c>
      <c r="J342" s="1">
        <v>3</v>
      </c>
      <c r="K342" s="15">
        <v>100.16</v>
      </c>
      <c r="L342" s="13">
        <v>0.2</v>
      </c>
      <c r="M342" s="10">
        <v>61.4</v>
      </c>
      <c r="N342" s="12">
        <f>(Table1[[#This Row],[Quantity]]*Table1[[#This Row],[Unit Price]])*(1-Table1[[#This Row],[Discount]])</f>
        <v>240.38400000000001</v>
      </c>
      <c r="O342" s="12">
        <f>(Table1[[#This Row],[Unit Price]]-Table1[[#This Row],[Unit Cost]])*Table1[[#This Row],[Quantity]]</f>
        <v>116.28</v>
      </c>
      <c r="P342" s="17" t="str">
        <f t="shared" si="5"/>
        <v>Bulk</v>
      </c>
      <c r="Q342" t="str">
        <f>IF(Table1[[#This Row],[Discount]]&gt;=15%,"HIGH",IF(Table1[[#This Row],[Discount]]&gt;=55,"MEDIUM","NONE"))</f>
        <v>HIGH</v>
      </c>
      <c r="R342">
        <f>Table1[[#This Row],[Ship Date]]-Table1[[#This Row],[Order Date]]</f>
        <v>4</v>
      </c>
    </row>
    <row r="343" spans="1:18" x14ac:dyDescent="0.25">
      <c r="A343" s="3" t="s">
        <v>797</v>
      </c>
      <c r="B343" s="2" t="s">
        <v>793</v>
      </c>
      <c r="C343" s="2" t="s">
        <v>798</v>
      </c>
      <c r="D343" s="1" t="s">
        <v>30</v>
      </c>
      <c r="E343" s="1" t="s">
        <v>55</v>
      </c>
      <c r="F343" s="1" t="s">
        <v>60</v>
      </c>
      <c r="G343" s="1" t="s">
        <v>97</v>
      </c>
      <c r="H343" s="1" t="s">
        <v>61</v>
      </c>
      <c r="I343" s="1" t="s">
        <v>62</v>
      </c>
      <c r="J343" s="1">
        <v>1</v>
      </c>
      <c r="K343" s="15">
        <v>41.16</v>
      </c>
      <c r="L343" s="13">
        <v>0</v>
      </c>
      <c r="M343" s="10">
        <v>28.14</v>
      </c>
      <c r="N343" s="12">
        <f>(Table1[[#This Row],[Quantity]]*Table1[[#This Row],[Unit Price]])*(1-Table1[[#This Row],[Discount]])</f>
        <v>41.16</v>
      </c>
      <c r="O343" s="12">
        <f>(Table1[[#This Row],[Unit Price]]-Table1[[#This Row],[Unit Cost]])*Table1[[#This Row],[Quantity]]</f>
        <v>13.019999999999996</v>
      </c>
      <c r="P343" s="17" t="str">
        <f t="shared" si="5"/>
        <v>Standard</v>
      </c>
      <c r="Q343" t="str">
        <f>IF(Table1[[#This Row],[Discount]]&gt;=15%,"HIGH",IF(Table1[[#This Row],[Discount]]&gt;=55,"MEDIUM","NONE"))</f>
        <v>NONE</v>
      </c>
      <c r="R343">
        <f>Table1[[#This Row],[Ship Date]]-Table1[[#This Row],[Order Date]]</f>
        <v>2</v>
      </c>
    </row>
    <row r="344" spans="1:18" x14ac:dyDescent="0.25">
      <c r="A344" s="3" t="s">
        <v>799</v>
      </c>
      <c r="B344" s="2" t="s">
        <v>634</v>
      </c>
      <c r="C344" s="2" t="s">
        <v>634</v>
      </c>
      <c r="D344" s="1" t="s">
        <v>24</v>
      </c>
      <c r="E344" s="1" t="s">
        <v>96</v>
      </c>
      <c r="F344" s="1" t="s">
        <v>38</v>
      </c>
      <c r="G344" s="1" t="s">
        <v>44</v>
      </c>
      <c r="H344" s="1" t="s">
        <v>20</v>
      </c>
      <c r="I344" s="1" t="s">
        <v>134</v>
      </c>
      <c r="J344" s="1">
        <v>10</v>
      </c>
      <c r="K344" s="15">
        <v>747.55</v>
      </c>
      <c r="L344" s="13">
        <v>0</v>
      </c>
      <c r="M344" s="10">
        <v>554.16999999999996</v>
      </c>
      <c r="N344" s="12">
        <f>(Table1[[#This Row],[Quantity]]*Table1[[#This Row],[Unit Price]])*(1-Table1[[#This Row],[Discount]])</f>
        <v>7475.5</v>
      </c>
      <c r="O344" s="12">
        <f>(Table1[[#This Row],[Unit Price]]-Table1[[#This Row],[Unit Cost]])*Table1[[#This Row],[Quantity]]</f>
        <v>1933.8</v>
      </c>
      <c r="P344" s="17" t="str">
        <f t="shared" si="5"/>
        <v>Standard</v>
      </c>
      <c r="Q344" t="str">
        <f>IF(Table1[[#This Row],[Discount]]&gt;=15%,"HIGH",IF(Table1[[#This Row],[Discount]]&gt;=55,"MEDIUM","NONE"))</f>
        <v>NONE</v>
      </c>
      <c r="R344">
        <f>Table1[[#This Row],[Ship Date]]-Table1[[#This Row],[Order Date]]</f>
        <v>0</v>
      </c>
    </row>
    <row r="345" spans="1:18" x14ac:dyDescent="0.25">
      <c r="A345" s="3" t="s">
        <v>800</v>
      </c>
      <c r="B345" s="2" t="s">
        <v>616</v>
      </c>
      <c r="C345" s="2" t="s">
        <v>801</v>
      </c>
      <c r="D345" s="1" t="s">
        <v>16</v>
      </c>
      <c r="E345" s="1" t="s">
        <v>122</v>
      </c>
      <c r="F345" s="1" t="s">
        <v>25</v>
      </c>
      <c r="G345" s="1" t="s">
        <v>19</v>
      </c>
      <c r="H345" s="1" t="s">
        <v>20</v>
      </c>
      <c r="I345" s="1" t="s">
        <v>139</v>
      </c>
      <c r="J345" s="1">
        <v>24</v>
      </c>
      <c r="K345" s="15">
        <v>499.64</v>
      </c>
      <c r="L345" s="13">
        <v>0.2</v>
      </c>
      <c r="M345" s="10">
        <v>380.91</v>
      </c>
      <c r="N345" s="12">
        <f>(Table1[[#This Row],[Quantity]]*Table1[[#This Row],[Unit Price]])*(1-Table1[[#This Row],[Discount]])</f>
        <v>9593.0880000000016</v>
      </c>
      <c r="O345" s="12">
        <f>(Table1[[#This Row],[Unit Price]]-Table1[[#This Row],[Unit Cost]])*Table1[[#This Row],[Quantity]]</f>
        <v>2849.5199999999991</v>
      </c>
      <c r="P345" s="17" t="str">
        <f t="shared" si="5"/>
        <v>Standard</v>
      </c>
      <c r="Q345" t="str">
        <f>IF(Table1[[#This Row],[Discount]]&gt;=15%,"HIGH",IF(Table1[[#This Row],[Discount]]&gt;=55,"MEDIUM","NONE"))</f>
        <v>HIGH</v>
      </c>
      <c r="R345">
        <f>Table1[[#This Row],[Ship Date]]-Table1[[#This Row],[Order Date]]</f>
        <v>6</v>
      </c>
    </row>
    <row r="346" spans="1:18" x14ac:dyDescent="0.25">
      <c r="A346" s="3" t="s">
        <v>802</v>
      </c>
      <c r="B346" s="2" t="s">
        <v>803</v>
      </c>
      <c r="C346" s="2" t="s">
        <v>804</v>
      </c>
      <c r="D346" s="1" t="s">
        <v>16</v>
      </c>
      <c r="E346" s="1" t="s">
        <v>122</v>
      </c>
      <c r="F346" s="1" t="s">
        <v>38</v>
      </c>
      <c r="G346" s="1" t="s">
        <v>50</v>
      </c>
      <c r="H346" s="1" t="s">
        <v>33</v>
      </c>
      <c r="I346" s="1" t="s">
        <v>34</v>
      </c>
      <c r="J346" s="1">
        <v>2</v>
      </c>
      <c r="K346" s="15">
        <v>2.19</v>
      </c>
      <c r="L346" s="13">
        <v>0.1</v>
      </c>
      <c r="M346" s="10">
        <v>1.42</v>
      </c>
      <c r="N346" s="12">
        <f>(Table1[[#This Row],[Quantity]]*Table1[[#This Row],[Unit Price]])*(1-Table1[[#This Row],[Discount]])</f>
        <v>3.9420000000000002</v>
      </c>
      <c r="O346" s="12">
        <f>(Table1[[#This Row],[Unit Price]]-Table1[[#This Row],[Unit Cost]])*Table1[[#This Row],[Quantity]]</f>
        <v>1.54</v>
      </c>
      <c r="P346" s="17" t="str">
        <f t="shared" si="5"/>
        <v>Bulk</v>
      </c>
      <c r="Q346" t="str">
        <f>IF(Table1[[#This Row],[Discount]]&gt;=15%,"HIGH",IF(Table1[[#This Row],[Discount]]&gt;=55,"MEDIUM","NONE"))</f>
        <v>NONE</v>
      </c>
      <c r="R346">
        <f>Table1[[#This Row],[Ship Date]]-Table1[[#This Row],[Order Date]]</f>
        <v>4</v>
      </c>
    </row>
    <row r="347" spans="1:18" x14ac:dyDescent="0.25">
      <c r="A347" s="3" t="s">
        <v>805</v>
      </c>
      <c r="B347" s="2" t="s">
        <v>806</v>
      </c>
      <c r="C347" s="2" t="s">
        <v>403</v>
      </c>
      <c r="D347" s="1" t="s">
        <v>16</v>
      </c>
      <c r="E347" s="1" t="s">
        <v>71</v>
      </c>
      <c r="F347" s="1" t="s">
        <v>60</v>
      </c>
      <c r="G347" s="1" t="s">
        <v>50</v>
      </c>
      <c r="H347" s="1" t="s">
        <v>33</v>
      </c>
      <c r="I347" s="1" t="s">
        <v>51</v>
      </c>
      <c r="J347" s="1">
        <v>6</v>
      </c>
      <c r="K347" s="15">
        <v>10.39</v>
      </c>
      <c r="L347" s="13">
        <v>0.2</v>
      </c>
      <c r="M347" s="10">
        <v>6.37</v>
      </c>
      <c r="N347" s="12">
        <f>(Table1[[#This Row],[Quantity]]*Table1[[#This Row],[Unit Price]])*(1-Table1[[#This Row],[Discount]])</f>
        <v>49.872000000000007</v>
      </c>
      <c r="O347" s="12">
        <f>(Table1[[#This Row],[Unit Price]]-Table1[[#This Row],[Unit Cost]])*Table1[[#This Row],[Quantity]]</f>
        <v>24.120000000000005</v>
      </c>
      <c r="P347" s="17" t="str">
        <f t="shared" si="5"/>
        <v>Standard</v>
      </c>
      <c r="Q347" t="str">
        <f>IF(Table1[[#This Row],[Discount]]&gt;=15%,"HIGH",IF(Table1[[#This Row],[Discount]]&gt;=55,"MEDIUM","NONE"))</f>
        <v>HIGH</v>
      </c>
      <c r="R347">
        <f>Table1[[#This Row],[Ship Date]]-Table1[[#This Row],[Order Date]]</f>
        <v>4</v>
      </c>
    </row>
    <row r="348" spans="1:18" x14ac:dyDescent="0.25">
      <c r="A348" s="3" t="s">
        <v>807</v>
      </c>
      <c r="B348" s="2" t="s">
        <v>720</v>
      </c>
      <c r="C348" s="2" t="s">
        <v>721</v>
      </c>
      <c r="D348" s="1" t="s">
        <v>30</v>
      </c>
      <c r="E348" s="1" t="s">
        <v>122</v>
      </c>
      <c r="F348" s="1" t="s">
        <v>60</v>
      </c>
      <c r="G348" s="1" t="s">
        <v>67</v>
      </c>
      <c r="H348" s="1" t="s">
        <v>20</v>
      </c>
      <c r="I348" s="1" t="s">
        <v>192</v>
      </c>
      <c r="J348" s="1">
        <v>22</v>
      </c>
      <c r="K348" s="15">
        <v>127.47</v>
      </c>
      <c r="L348" s="13">
        <v>0</v>
      </c>
      <c r="M348" s="10">
        <v>76.400000000000006</v>
      </c>
      <c r="N348" s="12">
        <f>(Table1[[#This Row],[Quantity]]*Table1[[#This Row],[Unit Price]])*(1-Table1[[#This Row],[Discount]])</f>
        <v>2804.34</v>
      </c>
      <c r="O348" s="12">
        <f>(Table1[[#This Row],[Unit Price]]-Table1[[#This Row],[Unit Cost]])*Table1[[#This Row],[Quantity]]</f>
        <v>1123.54</v>
      </c>
      <c r="P348" s="17" t="str">
        <f t="shared" si="5"/>
        <v>Standard</v>
      </c>
      <c r="Q348" t="str">
        <f>IF(Table1[[#This Row],[Discount]]&gt;=15%,"HIGH",IF(Table1[[#This Row],[Discount]]&gt;=55,"MEDIUM","NONE"))</f>
        <v>NONE</v>
      </c>
      <c r="R348">
        <f>Table1[[#This Row],[Ship Date]]-Table1[[#This Row],[Order Date]]</f>
        <v>3</v>
      </c>
    </row>
    <row r="349" spans="1:18" x14ac:dyDescent="0.25">
      <c r="A349" s="3" t="s">
        <v>808</v>
      </c>
      <c r="B349" s="2" t="s">
        <v>809</v>
      </c>
      <c r="C349" s="2" t="s">
        <v>611</v>
      </c>
      <c r="D349" s="1" t="s">
        <v>16</v>
      </c>
      <c r="E349" s="1" t="s">
        <v>214</v>
      </c>
      <c r="F349" s="1" t="s">
        <v>43</v>
      </c>
      <c r="G349" s="1" t="s">
        <v>67</v>
      </c>
      <c r="H349" s="1" t="s">
        <v>45</v>
      </c>
      <c r="I349" s="1" t="s">
        <v>68</v>
      </c>
      <c r="J349" s="1">
        <v>11</v>
      </c>
      <c r="K349" s="15">
        <v>419.54</v>
      </c>
      <c r="L349" s="13">
        <v>0</v>
      </c>
      <c r="M349" s="10">
        <v>295.39</v>
      </c>
      <c r="N349" s="12">
        <f>(Table1[[#This Row],[Quantity]]*Table1[[#This Row],[Unit Price]])*(1-Table1[[#This Row],[Discount]])</f>
        <v>4614.9400000000005</v>
      </c>
      <c r="O349" s="12">
        <f>(Table1[[#This Row],[Unit Price]]-Table1[[#This Row],[Unit Cost]])*Table1[[#This Row],[Quantity]]</f>
        <v>1365.6500000000003</v>
      </c>
      <c r="P349" s="17" t="str">
        <f t="shared" si="5"/>
        <v>Bulk</v>
      </c>
      <c r="Q349" t="str">
        <f>IF(Table1[[#This Row],[Discount]]&gt;=15%,"HIGH",IF(Table1[[#This Row],[Discount]]&gt;=55,"MEDIUM","NONE"))</f>
        <v>NONE</v>
      </c>
      <c r="R349">
        <f>Table1[[#This Row],[Ship Date]]-Table1[[#This Row],[Order Date]]</f>
        <v>6</v>
      </c>
    </row>
    <row r="350" spans="1:18" x14ac:dyDescent="0.25">
      <c r="A350" s="3" t="s">
        <v>810</v>
      </c>
      <c r="B350" s="2" t="s">
        <v>520</v>
      </c>
      <c r="C350" s="2" t="s">
        <v>811</v>
      </c>
      <c r="D350" s="1" t="s">
        <v>30</v>
      </c>
      <c r="E350" s="1" t="s">
        <v>78</v>
      </c>
      <c r="F350" s="1" t="s">
        <v>60</v>
      </c>
      <c r="G350" s="1" t="s">
        <v>26</v>
      </c>
      <c r="H350" s="1" t="s">
        <v>33</v>
      </c>
      <c r="I350" s="1" t="s">
        <v>39</v>
      </c>
      <c r="J350" s="1">
        <v>8</v>
      </c>
      <c r="K350" s="15">
        <v>31.86</v>
      </c>
      <c r="L350" s="13">
        <v>0.15</v>
      </c>
      <c r="M350" s="10">
        <v>23.42</v>
      </c>
      <c r="N350" s="12">
        <f>(Table1[[#This Row],[Quantity]]*Table1[[#This Row],[Unit Price]])*(1-Table1[[#This Row],[Discount]])</f>
        <v>216.648</v>
      </c>
      <c r="O350" s="12">
        <f>(Table1[[#This Row],[Unit Price]]-Table1[[#This Row],[Unit Cost]])*Table1[[#This Row],[Quantity]]</f>
        <v>67.519999999999982</v>
      </c>
      <c r="P350" s="17" t="str">
        <f t="shared" si="5"/>
        <v>Bulk</v>
      </c>
      <c r="Q350" t="str">
        <f>IF(Table1[[#This Row],[Discount]]&gt;=15%,"HIGH",IF(Table1[[#This Row],[Discount]]&gt;=55,"MEDIUM","NONE"))</f>
        <v>HIGH</v>
      </c>
      <c r="R350">
        <f>Table1[[#This Row],[Ship Date]]-Table1[[#This Row],[Order Date]]</f>
        <v>3</v>
      </c>
    </row>
    <row r="351" spans="1:18" x14ac:dyDescent="0.25">
      <c r="A351" s="3" t="s">
        <v>812</v>
      </c>
      <c r="B351" s="2" t="s">
        <v>813</v>
      </c>
      <c r="C351" s="2" t="s">
        <v>611</v>
      </c>
      <c r="D351" s="1" t="s">
        <v>30</v>
      </c>
      <c r="E351" s="1" t="s">
        <v>75</v>
      </c>
      <c r="F351" s="1" t="s">
        <v>60</v>
      </c>
      <c r="G351" s="1" t="s">
        <v>82</v>
      </c>
      <c r="H351" s="1" t="s">
        <v>45</v>
      </c>
      <c r="I351" s="1" t="s">
        <v>148</v>
      </c>
      <c r="J351" s="1">
        <v>25</v>
      </c>
      <c r="K351" s="15">
        <v>286.05</v>
      </c>
      <c r="L351" s="13">
        <v>0.1</v>
      </c>
      <c r="M351" s="10">
        <v>165.11</v>
      </c>
      <c r="N351" s="12">
        <f>(Table1[[#This Row],[Quantity]]*Table1[[#This Row],[Unit Price]])*(1-Table1[[#This Row],[Discount]])</f>
        <v>6436.125</v>
      </c>
      <c r="O351" s="12">
        <f>(Table1[[#This Row],[Unit Price]]-Table1[[#This Row],[Unit Cost]])*Table1[[#This Row],[Quantity]]</f>
        <v>3023.5</v>
      </c>
      <c r="P351" s="17" t="str">
        <f t="shared" si="5"/>
        <v>Standard</v>
      </c>
      <c r="Q351" t="str">
        <f>IF(Table1[[#This Row],[Discount]]&gt;=15%,"HIGH",IF(Table1[[#This Row],[Discount]]&gt;=55,"MEDIUM","NONE"))</f>
        <v>NONE</v>
      </c>
      <c r="R351">
        <f>Table1[[#This Row],[Ship Date]]-Table1[[#This Row],[Order Date]]</f>
        <v>3</v>
      </c>
    </row>
    <row r="352" spans="1:18" x14ac:dyDescent="0.25">
      <c r="A352" s="3" t="s">
        <v>814</v>
      </c>
      <c r="B352" s="2" t="s">
        <v>815</v>
      </c>
      <c r="C352" s="2" t="s">
        <v>815</v>
      </c>
      <c r="D352" s="1" t="s">
        <v>24</v>
      </c>
      <c r="E352" s="1" t="s">
        <v>49</v>
      </c>
      <c r="F352" s="1" t="s">
        <v>43</v>
      </c>
      <c r="G352" s="1" t="s">
        <v>26</v>
      </c>
      <c r="H352" s="1" t="s">
        <v>45</v>
      </c>
      <c r="I352" s="1" t="s">
        <v>148</v>
      </c>
      <c r="J352" s="1">
        <v>21</v>
      </c>
      <c r="K352" s="15">
        <v>83.08</v>
      </c>
      <c r="L352" s="13">
        <v>0.1</v>
      </c>
      <c r="M352" s="10">
        <v>57.72</v>
      </c>
      <c r="N352" s="12">
        <f>(Table1[[#This Row],[Quantity]]*Table1[[#This Row],[Unit Price]])*(1-Table1[[#This Row],[Discount]])</f>
        <v>1570.212</v>
      </c>
      <c r="O352" s="12">
        <f>(Table1[[#This Row],[Unit Price]]-Table1[[#This Row],[Unit Cost]])*Table1[[#This Row],[Quantity]]</f>
        <v>532.55999999999995</v>
      </c>
      <c r="P352" s="17" t="str">
        <f t="shared" si="5"/>
        <v>Bulk</v>
      </c>
      <c r="Q352" t="str">
        <f>IF(Table1[[#This Row],[Discount]]&gt;=15%,"HIGH",IF(Table1[[#This Row],[Discount]]&gt;=55,"MEDIUM","NONE"))</f>
        <v>NONE</v>
      </c>
      <c r="R352">
        <f>Table1[[#This Row],[Ship Date]]-Table1[[#This Row],[Order Date]]</f>
        <v>0</v>
      </c>
    </row>
    <row r="353" spans="1:18" x14ac:dyDescent="0.25">
      <c r="A353" s="3" t="s">
        <v>816</v>
      </c>
      <c r="B353" s="2" t="s">
        <v>130</v>
      </c>
      <c r="C353" s="2" t="s">
        <v>817</v>
      </c>
      <c r="D353" s="1" t="s">
        <v>30</v>
      </c>
      <c r="E353" s="1" t="s">
        <v>66</v>
      </c>
      <c r="F353" s="1" t="s">
        <v>38</v>
      </c>
      <c r="G353" s="1" t="s">
        <v>50</v>
      </c>
      <c r="H353" s="1" t="s">
        <v>33</v>
      </c>
      <c r="I353" s="1" t="s">
        <v>153</v>
      </c>
      <c r="J353" s="1">
        <v>13</v>
      </c>
      <c r="K353" s="15">
        <v>10.49</v>
      </c>
      <c r="L353" s="13">
        <v>0.2</v>
      </c>
      <c r="M353" s="10">
        <v>7.32</v>
      </c>
      <c r="N353" s="12">
        <f>(Table1[[#This Row],[Quantity]]*Table1[[#This Row],[Unit Price]])*(1-Table1[[#This Row],[Discount]])</f>
        <v>109.096</v>
      </c>
      <c r="O353" s="12">
        <f>(Table1[[#This Row],[Unit Price]]-Table1[[#This Row],[Unit Cost]])*Table1[[#This Row],[Quantity]]</f>
        <v>41.21</v>
      </c>
      <c r="P353" s="17" t="str">
        <f t="shared" si="5"/>
        <v>Bulk</v>
      </c>
      <c r="Q353" t="str">
        <f>IF(Table1[[#This Row],[Discount]]&gt;=15%,"HIGH",IF(Table1[[#This Row],[Discount]]&gt;=55,"MEDIUM","NONE"))</f>
        <v>HIGH</v>
      </c>
      <c r="R353">
        <f>Table1[[#This Row],[Ship Date]]-Table1[[#This Row],[Order Date]]</f>
        <v>2</v>
      </c>
    </row>
    <row r="354" spans="1:18" x14ac:dyDescent="0.25">
      <c r="A354" s="3" t="s">
        <v>818</v>
      </c>
      <c r="B354" s="2" t="s">
        <v>819</v>
      </c>
      <c r="C354" s="2" t="s">
        <v>819</v>
      </c>
      <c r="D354" s="1" t="s">
        <v>24</v>
      </c>
      <c r="E354" s="1" t="s">
        <v>71</v>
      </c>
      <c r="F354" s="1" t="s">
        <v>18</v>
      </c>
      <c r="G354" s="1" t="s">
        <v>26</v>
      </c>
      <c r="H354" s="1" t="s">
        <v>20</v>
      </c>
      <c r="I354" s="1" t="s">
        <v>139</v>
      </c>
      <c r="J354" s="1">
        <v>8</v>
      </c>
      <c r="K354" s="15">
        <v>1025.18</v>
      </c>
      <c r="L354" s="13">
        <v>0.2</v>
      </c>
      <c r="M354" s="10">
        <v>815.49</v>
      </c>
      <c r="N354" s="12">
        <f>(Table1[[#This Row],[Quantity]]*Table1[[#This Row],[Unit Price]])*(1-Table1[[#This Row],[Discount]])</f>
        <v>6561.152000000001</v>
      </c>
      <c r="O354" s="12">
        <f>(Table1[[#This Row],[Unit Price]]-Table1[[#This Row],[Unit Cost]])*Table1[[#This Row],[Quantity]]</f>
        <v>1677.5200000000004</v>
      </c>
      <c r="P354" s="17" t="str">
        <f t="shared" si="5"/>
        <v>Bulk</v>
      </c>
      <c r="Q354" t="str">
        <f>IF(Table1[[#This Row],[Discount]]&gt;=15%,"HIGH",IF(Table1[[#This Row],[Discount]]&gt;=55,"MEDIUM","NONE"))</f>
        <v>HIGH</v>
      </c>
      <c r="R354">
        <f>Table1[[#This Row],[Ship Date]]-Table1[[#This Row],[Order Date]]</f>
        <v>0</v>
      </c>
    </row>
    <row r="355" spans="1:18" x14ac:dyDescent="0.25">
      <c r="A355" s="3" t="s">
        <v>820</v>
      </c>
      <c r="B355" s="2" t="s">
        <v>821</v>
      </c>
      <c r="C355" s="2" t="s">
        <v>821</v>
      </c>
      <c r="D355" s="1" t="s">
        <v>24</v>
      </c>
      <c r="E355" s="1" t="s">
        <v>109</v>
      </c>
      <c r="F355" s="1" t="s">
        <v>38</v>
      </c>
      <c r="G355" s="1" t="s">
        <v>50</v>
      </c>
      <c r="H355" s="1" t="s">
        <v>45</v>
      </c>
      <c r="I355" s="1" t="s">
        <v>68</v>
      </c>
      <c r="J355" s="1">
        <v>24</v>
      </c>
      <c r="K355" s="15">
        <v>417.79</v>
      </c>
      <c r="L355" s="13">
        <v>0</v>
      </c>
      <c r="M355" s="10">
        <v>234.01</v>
      </c>
      <c r="N355" s="12">
        <f>(Table1[[#This Row],[Quantity]]*Table1[[#This Row],[Unit Price]])*(1-Table1[[#This Row],[Discount]])</f>
        <v>10026.960000000001</v>
      </c>
      <c r="O355" s="12">
        <f>(Table1[[#This Row],[Unit Price]]-Table1[[#This Row],[Unit Cost]])*Table1[[#This Row],[Quantity]]</f>
        <v>4410.7200000000012</v>
      </c>
      <c r="P355" s="17" t="str">
        <f t="shared" si="5"/>
        <v>Standard</v>
      </c>
      <c r="Q355" t="str">
        <f>IF(Table1[[#This Row],[Discount]]&gt;=15%,"HIGH",IF(Table1[[#This Row],[Discount]]&gt;=55,"MEDIUM","NONE"))</f>
        <v>NONE</v>
      </c>
      <c r="R355">
        <f>Table1[[#This Row],[Ship Date]]-Table1[[#This Row],[Order Date]]</f>
        <v>0</v>
      </c>
    </row>
    <row r="356" spans="1:18" x14ac:dyDescent="0.25">
      <c r="A356" s="3" t="s">
        <v>822</v>
      </c>
      <c r="B356" s="2" t="s">
        <v>823</v>
      </c>
      <c r="C356" s="2" t="s">
        <v>823</v>
      </c>
      <c r="D356" s="1" t="s">
        <v>24</v>
      </c>
      <c r="E356" s="1" t="s">
        <v>133</v>
      </c>
      <c r="F356" s="1" t="s">
        <v>25</v>
      </c>
      <c r="G356" s="1" t="s">
        <v>19</v>
      </c>
      <c r="H356" s="1" t="s">
        <v>33</v>
      </c>
      <c r="I356" s="1" t="s">
        <v>39</v>
      </c>
      <c r="J356" s="1">
        <v>12</v>
      </c>
      <c r="K356" s="15">
        <v>16.75</v>
      </c>
      <c r="L356" s="13">
        <v>0.05</v>
      </c>
      <c r="M356" s="10">
        <v>12.9</v>
      </c>
      <c r="N356" s="12">
        <f>(Table1[[#This Row],[Quantity]]*Table1[[#This Row],[Unit Price]])*(1-Table1[[#This Row],[Discount]])</f>
        <v>190.95</v>
      </c>
      <c r="O356" s="12">
        <f>(Table1[[#This Row],[Unit Price]]-Table1[[#This Row],[Unit Cost]])*Table1[[#This Row],[Quantity]]</f>
        <v>46.199999999999996</v>
      </c>
      <c r="P356" s="17" t="str">
        <f t="shared" si="5"/>
        <v>Bulk</v>
      </c>
      <c r="Q356" t="str">
        <f>IF(Table1[[#This Row],[Discount]]&gt;=15%,"HIGH",IF(Table1[[#This Row],[Discount]]&gt;=55,"MEDIUM","NONE"))</f>
        <v>NONE</v>
      </c>
      <c r="R356">
        <f>Table1[[#This Row],[Ship Date]]-Table1[[#This Row],[Order Date]]</f>
        <v>0</v>
      </c>
    </row>
    <row r="357" spans="1:18" x14ac:dyDescent="0.25">
      <c r="A357" s="3" t="s">
        <v>824</v>
      </c>
      <c r="B357" s="2" t="s">
        <v>341</v>
      </c>
      <c r="C357" s="2" t="s">
        <v>825</v>
      </c>
      <c r="D357" s="1" t="s">
        <v>30</v>
      </c>
      <c r="E357" s="1" t="s">
        <v>122</v>
      </c>
      <c r="F357" s="1" t="s">
        <v>38</v>
      </c>
      <c r="G357" s="1" t="s">
        <v>50</v>
      </c>
      <c r="H357" s="1" t="s">
        <v>33</v>
      </c>
      <c r="I357" s="1" t="s">
        <v>39</v>
      </c>
      <c r="J357" s="1">
        <v>21</v>
      </c>
      <c r="K357" s="15">
        <v>16.38</v>
      </c>
      <c r="L357" s="13">
        <v>0.1</v>
      </c>
      <c r="M357" s="10">
        <v>11.68</v>
      </c>
      <c r="N357" s="12">
        <f>(Table1[[#This Row],[Quantity]]*Table1[[#This Row],[Unit Price]])*(1-Table1[[#This Row],[Discount]])</f>
        <v>309.58199999999999</v>
      </c>
      <c r="O357" s="12">
        <f>(Table1[[#This Row],[Unit Price]]-Table1[[#This Row],[Unit Cost]])*Table1[[#This Row],[Quantity]]</f>
        <v>98.699999999999989</v>
      </c>
      <c r="P357" s="17" t="str">
        <f t="shared" si="5"/>
        <v>Bulk</v>
      </c>
      <c r="Q357" t="str">
        <f>IF(Table1[[#This Row],[Discount]]&gt;=15%,"HIGH",IF(Table1[[#This Row],[Discount]]&gt;=55,"MEDIUM","NONE"))</f>
        <v>NONE</v>
      </c>
      <c r="R357">
        <f>Table1[[#This Row],[Ship Date]]-Table1[[#This Row],[Order Date]]</f>
        <v>3</v>
      </c>
    </row>
    <row r="358" spans="1:18" x14ac:dyDescent="0.25">
      <c r="A358" s="3" t="s">
        <v>826</v>
      </c>
      <c r="B358" s="2" t="s">
        <v>366</v>
      </c>
      <c r="C358" s="2" t="s">
        <v>827</v>
      </c>
      <c r="D358" s="1" t="s">
        <v>30</v>
      </c>
      <c r="E358" s="1" t="s">
        <v>206</v>
      </c>
      <c r="F358" s="1" t="s">
        <v>60</v>
      </c>
      <c r="G358" s="1" t="s">
        <v>32</v>
      </c>
      <c r="H358" s="1" t="s">
        <v>45</v>
      </c>
      <c r="I358" s="1" t="s">
        <v>83</v>
      </c>
      <c r="J358" s="1">
        <v>16</v>
      </c>
      <c r="K358" s="15">
        <v>716.51</v>
      </c>
      <c r="L358" s="13">
        <v>0</v>
      </c>
      <c r="M358" s="10">
        <v>483.97</v>
      </c>
      <c r="N358" s="12">
        <f>(Table1[[#This Row],[Quantity]]*Table1[[#This Row],[Unit Price]])*(1-Table1[[#This Row],[Discount]])</f>
        <v>11464.16</v>
      </c>
      <c r="O358" s="12">
        <f>(Table1[[#This Row],[Unit Price]]-Table1[[#This Row],[Unit Cost]])*Table1[[#This Row],[Quantity]]</f>
        <v>3720.6399999999994</v>
      </c>
      <c r="P358" s="17" t="str">
        <f t="shared" si="5"/>
        <v>Bulk</v>
      </c>
      <c r="Q358" t="str">
        <f>IF(Table1[[#This Row],[Discount]]&gt;=15%,"HIGH",IF(Table1[[#This Row],[Discount]]&gt;=55,"MEDIUM","NONE"))</f>
        <v>NONE</v>
      </c>
      <c r="R358">
        <f>Table1[[#This Row],[Ship Date]]-Table1[[#This Row],[Order Date]]</f>
        <v>3</v>
      </c>
    </row>
    <row r="359" spans="1:18" x14ac:dyDescent="0.25">
      <c r="A359" s="3" t="s">
        <v>828</v>
      </c>
      <c r="B359" s="2" t="s">
        <v>179</v>
      </c>
      <c r="C359" s="2" t="s">
        <v>157</v>
      </c>
      <c r="D359" s="1" t="s">
        <v>16</v>
      </c>
      <c r="E359" s="1" t="s">
        <v>37</v>
      </c>
      <c r="F359" s="1" t="s">
        <v>38</v>
      </c>
      <c r="G359" s="1" t="s">
        <v>19</v>
      </c>
      <c r="H359" s="1" t="s">
        <v>45</v>
      </c>
      <c r="I359" s="1" t="s">
        <v>46</v>
      </c>
      <c r="J359" s="1">
        <v>6</v>
      </c>
      <c r="K359" s="15">
        <v>176.44</v>
      </c>
      <c r="L359" s="13">
        <v>0.1</v>
      </c>
      <c r="M359" s="10">
        <v>128.68</v>
      </c>
      <c r="N359" s="12">
        <f>(Table1[[#This Row],[Quantity]]*Table1[[#This Row],[Unit Price]])*(1-Table1[[#This Row],[Discount]])</f>
        <v>952.77599999999995</v>
      </c>
      <c r="O359" s="12">
        <f>(Table1[[#This Row],[Unit Price]]-Table1[[#This Row],[Unit Cost]])*Table1[[#This Row],[Quantity]]</f>
        <v>286.55999999999995</v>
      </c>
      <c r="P359" s="17" t="str">
        <f t="shared" si="5"/>
        <v>Bulk</v>
      </c>
      <c r="Q359" t="str">
        <f>IF(Table1[[#This Row],[Discount]]&gt;=15%,"HIGH",IF(Table1[[#This Row],[Discount]]&gt;=55,"MEDIUM","NONE"))</f>
        <v>NONE</v>
      </c>
      <c r="R359">
        <f>Table1[[#This Row],[Ship Date]]-Table1[[#This Row],[Order Date]]</f>
        <v>4</v>
      </c>
    </row>
    <row r="360" spans="1:18" x14ac:dyDescent="0.25">
      <c r="A360" s="3" t="s">
        <v>829</v>
      </c>
      <c r="B360" s="2" t="s">
        <v>830</v>
      </c>
      <c r="C360" s="2" t="s">
        <v>115</v>
      </c>
      <c r="D360" s="1" t="s">
        <v>16</v>
      </c>
      <c r="E360" s="1" t="s">
        <v>66</v>
      </c>
      <c r="F360" s="1" t="s">
        <v>60</v>
      </c>
      <c r="G360" s="1" t="s">
        <v>82</v>
      </c>
      <c r="H360" s="1" t="s">
        <v>33</v>
      </c>
      <c r="I360" s="1" t="s">
        <v>34</v>
      </c>
      <c r="J360" s="1">
        <v>19</v>
      </c>
      <c r="K360" s="15">
        <v>8.1300000000000008</v>
      </c>
      <c r="L360" s="13">
        <v>0.2</v>
      </c>
      <c r="M360" s="10">
        <v>5.31</v>
      </c>
      <c r="N360" s="12">
        <f>(Table1[[#This Row],[Quantity]]*Table1[[#This Row],[Unit Price]])*(1-Table1[[#This Row],[Discount]])</f>
        <v>123.57600000000002</v>
      </c>
      <c r="O360" s="12">
        <f>(Table1[[#This Row],[Unit Price]]-Table1[[#This Row],[Unit Cost]])*Table1[[#This Row],[Quantity]]</f>
        <v>53.58000000000002</v>
      </c>
      <c r="P360" s="17" t="str">
        <f t="shared" si="5"/>
        <v>Standard</v>
      </c>
      <c r="Q360" t="str">
        <f>IF(Table1[[#This Row],[Discount]]&gt;=15%,"HIGH",IF(Table1[[#This Row],[Discount]]&gt;=55,"MEDIUM","NONE"))</f>
        <v>HIGH</v>
      </c>
      <c r="R360">
        <f>Table1[[#This Row],[Ship Date]]-Table1[[#This Row],[Order Date]]</f>
        <v>5</v>
      </c>
    </row>
    <row r="361" spans="1:18" x14ac:dyDescent="0.25">
      <c r="A361" s="3" t="s">
        <v>831</v>
      </c>
      <c r="B361" s="2" t="s">
        <v>132</v>
      </c>
      <c r="C361" s="2" t="s">
        <v>124</v>
      </c>
      <c r="D361" s="1" t="s">
        <v>16</v>
      </c>
      <c r="E361" s="1" t="s">
        <v>133</v>
      </c>
      <c r="F361" s="1" t="s">
        <v>38</v>
      </c>
      <c r="G361" s="1" t="s">
        <v>50</v>
      </c>
      <c r="H361" s="1" t="s">
        <v>45</v>
      </c>
      <c r="I361" s="1" t="s">
        <v>68</v>
      </c>
      <c r="J361" s="1">
        <v>6</v>
      </c>
      <c r="K361" s="15">
        <v>251.11</v>
      </c>
      <c r="L361" s="13">
        <v>0</v>
      </c>
      <c r="M361" s="10">
        <v>170.54</v>
      </c>
      <c r="N361" s="12">
        <f>(Table1[[#This Row],[Quantity]]*Table1[[#This Row],[Unit Price]])*(1-Table1[[#This Row],[Discount]])</f>
        <v>1506.66</v>
      </c>
      <c r="O361" s="12">
        <f>(Table1[[#This Row],[Unit Price]]-Table1[[#This Row],[Unit Cost]])*Table1[[#This Row],[Quantity]]</f>
        <v>483.42000000000013</v>
      </c>
      <c r="P361" s="17" t="str">
        <f t="shared" si="5"/>
        <v>Bulk</v>
      </c>
      <c r="Q361" t="str">
        <f>IF(Table1[[#This Row],[Discount]]&gt;=15%,"HIGH",IF(Table1[[#This Row],[Discount]]&gt;=55,"MEDIUM","NONE"))</f>
        <v>NONE</v>
      </c>
      <c r="R361">
        <f>Table1[[#This Row],[Ship Date]]-Table1[[#This Row],[Order Date]]</f>
        <v>7</v>
      </c>
    </row>
    <row r="362" spans="1:18" x14ac:dyDescent="0.25">
      <c r="A362" s="3" t="s">
        <v>832</v>
      </c>
      <c r="B362" s="2" t="s">
        <v>758</v>
      </c>
      <c r="C362" s="2" t="s">
        <v>636</v>
      </c>
      <c r="D362" s="1" t="s">
        <v>30</v>
      </c>
      <c r="E362" s="1" t="s">
        <v>75</v>
      </c>
      <c r="F362" s="1" t="s">
        <v>25</v>
      </c>
      <c r="G362" s="1" t="s">
        <v>82</v>
      </c>
      <c r="H362" s="1" t="s">
        <v>33</v>
      </c>
      <c r="I362" s="1" t="s">
        <v>34</v>
      </c>
      <c r="J362" s="1">
        <v>6</v>
      </c>
      <c r="K362" s="15">
        <v>10.34</v>
      </c>
      <c r="L362" s="13">
        <v>0.05</v>
      </c>
      <c r="M362" s="10">
        <v>7.24</v>
      </c>
      <c r="N362" s="12">
        <f>(Table1[[#This Row],[Quantity]]*Table1[[#This Row],[Unit Price]])*(1-Table1[[#This Row],[Discount]])</f>
        <v>58.937999999999995</v>
      </c>
      <c r="O362" s="12">
        <f>(Table1[[#This Row],[Unit Price]]-Table1[[#This Row],[Unit Cost]])*Table1[[#This Row],[Quantity]]</f>
        <v>18.599999999999998</v>
      </c>
      <c r="P362" s="17" t="str">
        <f t="shared" si="5"/>
        <v>Standard</v>
      </c>
      <c r="Q362" t="str">
        <f>IF(Table1[[#This Row],[Discount]]&gt;=15%,"HIGH",IF(Table1[[#This Row],[Discount]]&gt;=55,"MEDIUM","NONE"))</f>
        <v>NONE</v>
      </c>
      <c r="R362">
        <f>Table1[[#This Row],[Ship Date]]-Table1[[#This Row],[Order Date]]</f>
        <v>3</v>
      </c>
    </row>
    <row r="363" spans="1:18" x14ac:dyDescent="0.25">
      <c r="A363" s="3" t="s">
        <v>833</v>
      </c>
      <c r="B363" s="2" t="s">
        <v>180</v>
      </c>
      <c r="C363" s="2" t="s">
        <v>158</v>
      </c>
      <c r="D363" s="1" t="s">
        <v>16</v>
      </c>
      <c r="E363" s="1" t="s">
        <v>109</v>
      </c>
      <c r="F363" s="1" t="s">
        <v>38</v>
      </c>
      <c r="G363" s="1" t="s">
        <v>67</v>
      </c>
      <c r="H363" s="1" t="s">
        <v>33</v>
      </c>
      <c r="I363" s="1" t="s">
        <v>76</v>
      </c>
      <c r="J363" s="1">
        <v>13</v>
      </c>
      <c r="K363" s="15">
        <v>16.649999999999999</v>
      </c>
      <c r="L363" s="13">
        <v>0</v>
      </c>
      <c r="M363" s="10">
        <v>9.23</v>
      </c>
      <c r="N363" s="12">
        <f>(Table1[[#This Row],[Quantity]]*Table1[[#This Row],[Unit Price]])*(1-Table1[[#This Row],[Discount]])</f>
        <v>216.45</v>
      </c>
      <c r="O363" s="12">
        <f>(Table1[[#This Row],[Unit Price]]-Table1[[#This Row],[Unit Cost]])*Table1[[#This Row],[Quantity]]</f>
        <v>96.45999999999998</v>
      </c>
      <c r="P363" s="17" t="str">
        <f t="shared" si="5"/>
        <v>Standard</v>
      </c>
      <c r="Q363" t="str">
        <f>IF(Table1[[#This Row],[Discount]]&gt;=15%,"HIGH",IF(Table1[[#This Row],[Discount]]&gt;=55,"MEDIUM","NONE"))</f>
        <v>NONE</v>
      </c>
      <c r="R363">
        <f>Table1[[#This Row],[Ship Date]]-Table1[[#This Row],[Order Date]]</f>
        <v>7</v>
      </c>
    </row>
    <row r="364" spans="1:18" x14ac:dyDescent="0.25">
      <c r="A364" s="3" t="s">
        <v>834</v>
      </c>
      <c r="B364" s="2" t="s">
        <v>835</v>
      </c>
      <c r="C364" s="2" t="s">
        <v>835</v>
      </c>
      <c r="D364" s="1" t="s">
        <v>24</v>
      </c>
      <c r="E364" s="1" t="s">
        <v>112</v>
      </c>
      <c r="F364" s="1" t="s">
        <v>60</v>
      </c>
      <c r="G364" s="1" t="s">
        <v>26</v>
      </c>
      <c r="H364" s="1" t="s">
        <v>20</v>
      </c>
      <c r="I364" s="1" t="s">
        <v>113</v>
      </c>
      <c r="J364" s="1">
        <v>17</v>
      </c>
      <c r="K364" s="15">
        <v>915.24</v>
      </c>
      <c r="L364" s="13">
        <v>0</v>
      </c>
      <c r="M364" s="10">
        <v>613.72</v>
      </c>
      <c r="N364" s="12">
        <f>(Table1[[#This Row],[Quantity]]*Table1[[#This Row],[Unit Price]])*(1-Table1[[#This Row],[Discount]])</f>
        <v>15559.08</v>
      </c>
      <c r="O364" s="12">
        <f>(Table1[[#This Row],[Unit Price]]-Table1[[#This Row],[Unit Cost]])*Table1[[#This Row],[Quantity]]</f>
        <v>5125.84</v>
      </c>
      <c r="P364" s="17" t="str">
        <f t="shared" si="5"/>
        <v>Bulk</v>
      </c>
      <c r="Q364" t="str">
        <f>IF(Table1[[#This Row],[Discount]]&gt;=15%,"HIGH",IF(Table1[[#This Row],[Discount]]&gt;=55,"MEDIUM","NONE"))</f>
        <v>NONE</v>
      </c>
      <c r="R364">
        <f>Table1[[#This Row],[Ship Date]]-Table1[[#This Row],[Order Date]]</f>
        <v>0</v>
      </c>
    </row>
    <row r="365" spans="1:18" x14ac:dyDescent="0.25">
      <c r="A365" s="3" t="s">
        <v>836</v>
      </c>
      <c r="B365" s="2" t="s">
        <v>837</v>
      </c>
      <c r="C365" s="2" t="s">
        <v>837</v>
      </c>
      <c r="D365" s="1" t="s">
        <v>24</v>
      </c>
      <c r="E365" s="1" t="s">
        <v>206</v>
      </c>
      <c r="F365" s="1" t="s">
        <v>60</v>
      </c>
      <c r="G365" s="1" t="s">
        <v>26</v>
      </c>
      <c r="H365" s="1" t="s">
        <v>61</v>
      </c>
      <c r="I365" s="1" t="s">
        <v>72</v>
      </c>
      <c r="J365" s="1">
        <v>17</v>
      </c>
      <c r="K365" s="15">
        <v>44.32</v>
      </c>
      <c r="L365" s="13">
        <v>0.2</v>
      </c>
      <c r="M365" s="10">
        <v>29.72</v>
      </c>
      <c r="N365" s="12">
        <f>(Table1[[#This Row],[Quantity]]*Table1[[#This Row],[Unit Price]])*(1-Table1[[#This Row],[Discount]])</f>
        <v>602.75200000000007</v>
      </c>
      <c r="O365" s="12">
        <f>(Table1[[#This Row],[Unit Price]]-Table1[[#This Row],[Unit Cost]])*Table1[[#This Row],[Quantity]]</f>
        <v>248.20000000000002</v>
      </c>
      <c r="P365" s="17" t="str">
        <f t="shared" si="5"/>
        <v>Bulk</v>
      </c>
      <c r="Q365" t="str">
        <f>IF(Table1[[#This Row],[Discount]]&gt;=15%,"HIGH",IF(Table1[[#This Row],[Discount]]&gt;=55,"MEDIUM","NONE"))</f>
        <v>HIGH</v>
      </c>
      <c r="R365">
        <f>Table1[[#This Row],[Ship Date]]-Table1[[#This Row],[Order Date]]</f>
        <v>0</v>
      </c>
    </row>
    <row r="366" spans="1:18" x14ac:dyDescent="0.25">
      <c r="A366" s="3" t="s">
        <v>838</v>
      </c>
      <c r="B366" s="2" t="s">
        <v>28</v>
      </c>
      <c r="C366" s="2" t="s">
        <v>498</v>
      </c>
      <c r="D366" s="1" t="s">
        <v>16</v>
      </c>
      <c r="E366" s="1" t="s">
        <v>37</v>
      </c>
      <c r="F366" s="1" t="s">
        <v>25</v>
      </c>
      <c r="G366" s="1" t="s">
        <v>82</v>
      </c>
      <c r="H366" s="1" t="s">
        <v>20</v>
      </c>
      <c r="I366" s="1" t="s">
        <v>139</v>
      </c>
      <c r="J366" s="1">
        <v>3</v>
      </c>
      <c r="K366" s="15">
        <v>375.76</v>
      </c>
      <c r="L366" s="13">
        <v>0.1</v>
      </c>
      <c r="M366" s="10">
        <v>245.06</v>
      </c>
      <c r="N366" s="12">
        <f>(Table1[[#This Row],[Quantity]]*Table1[[#This Row],[Unit Price]])*(1-Table1[[#This Row],[Discount]])</f>
        <v>1014.552</v>
      </c>
      <c r="O366" s="12">
        <f>(Table1[[#This Row],[Unit Price]]-Table1[[#This Row],[Unit Cost]])*Table1[[#This Row],[Quantity]]</f>
        <v>392.09999999999997</v>
      </c>
      <c r="P366" s="17" t="str">
        <f t="shared" si="5"/>
        <v>Bulk</v>
      </c>
      <c r="Q366" t="str">
        <f>IF(Table1[[#This Row],[Discount]]&gt;=15%,"HIGH",IF(Table1[[#This Row],[Discount]]&gt;=55,"MEDIUM","NONE"))</f>
        <v>NONE</v>
      </c>
      <c r="R366">
        <f>Table1[[#This Row],[Ship Date]]-Table1[[#This Row],[Order Date]]</f>
        <v>5</v>
      </c>
    </row>
    <row r="367" spans="1:18" x14ac:dyDescent="0.25">
      <c r="A367" s="3" t="s">
        <v>839</v>
      </c>
      <c r="B367" s="2" t="s">
        <v>840</v>
      </c>
      <c r="C367" s="2" t="s">
        <v>841</v>
      </c>
      <c r="D367" s="1" t="s">
        <v>30</v>
      </c>
      <c r="E367" s="1" t="s">
        <v>96</v>
      </c>
      <c r="F367" s="1" t="s">
        <v>38</v>
      </c>
      <c r="G367" s="1" t="s">
        <v>26</v>
      </c>
      <c r="H367" s="1" t="s">
        <v>20</v>
      </c>
      <c r="I367" s="1" t="s">
        <v>192</v>
      </c>
      <c r="J367" s="1">
        <v>21</v>
      </c>
      <c r="K367" s="15">
        <v>286.23</v>
      </c>
      <c r="L367" s="13">
        <v>0.2</v>
      </c>
      <c r="M367" s="10">
        <v>180.03</v>
      </c>
      <c r="N367" s="12">
        <f>(Table1[[#This Row],[Quantity]]*Table1[[#This Row],[Unit Price]])*(1-Table1[[#This Row],[Discount]])</f>
        <v>4808.6639999999998</v>
      </c>
      <c r="O367" s="12">
        <f>(Table1[[#This Row],[Unit Price]]-Table1[[#This Row],[Unit Cost]])*Table1[[#This Row],[Quantity]]</f>
        <v>2230.2000000000003</v>
      </c>
      <c r="P367" s="17" t="str">
        <f t="shared" si="5"/>
        <v>Standard</v>
      </c>
      <c r="Q367" t="str">
        <f>IF(Table1[[#This Row],[Discount]]&gt;=15%,"HIGH",IF(Table1[[#This Row],[Discount]]&gt;=55,"MEDIUM","NONE"))</f>
        <v>HIGH</v>
      </c>
      <c r="R367">
        <f>Table1[[#This Row],[Ship Date]]-Table1[[#This Row],[Order Date]]</f>
        <v>2</v>
      </c>
    </row>
    <row r="368" spans="1:18" x14ac:dyDescent="0.25">
      <c r="A368" s="3" t="s">
        <v>842</v>
      </c>
      <c r="B368" s="2" t="s">
        <v>843</v>
      </c>
      <c r="C368" s="2" t="s">
        <v>843</v>
      </c>
      <c r="D368" s="1" t="s">
        <v>24</v>
      </c>
      <c r="E368" s="1" t="s">
        <v>37</v>
      </c>
      <c r="F368" s="1" t="s">
        <v>18</v>
      </c>
      <c r="G368" s="1" t="s">
        <v>97</v>
      </c>
      <c r="H368" s="1" t="s">
        <v>61</v>
      </c>
      <c r="I368" s="1" t="s">
        <v>72</v>
      </c>
      <c r="J368" s="1">
        <v>12</v>
      </c>
      <c r="K368" s="15">
        <v>58.95</v>
      </c>
      <c r="L368" s="13">
        <v>0.15</v>
      </c>
      <c r="M368" s="10">
        <v>38.28</v>
      </c>
      <c r="N368" s="12">
        <f>(Table1[[#This Row],[Quantity]]*Table1[[#This Row],[Unit Price]])*(1-Table1[[#This Row],[Discount]])</f>
        <v>601.29000000000008</v>
      </c>
      <c r="O368" s="12">
        <f>(Table1[[#This Row],[Unit Price]]-Table1[[#This Row],[Unit Cost]])*Table1[[#This Row],[Quantity]]</f>
        <v>248.04000000000002</v>
      </c>
      <c r="P368" s="17" t="str">
        <f t="shared" si="5"/>
        <v>Bulk</v>
      </c>
      <c r="Q368" t="str">
        <f>IF(Table1[[#This Row],[Discount]]&gt;=15%,"HIGH",IF(Table1[[#This Row],[Discount]]&gt;=55,"MEDIUM","NONE"))</f>
        <v>HIGH</v>
      </c>
      <c r="R368">
        <f>Table1[[#This Row],[Ship Date]]-Table1[[#This Row],[Order Date]]</f>
        <v>0</v>
      </c>
    </row>
    <row r="369" spans="1:18" x14ac:dyDescent="0.25">
      <c r="A369" s="3" t="s">
        <v>844</v>
      </c>
      <c r="B369" s="2" t="s">
        <v>247</v>
      </c>
      <c r="C369" s="2" t="s">
        <v>845</v>
      </c>
      <c r="D369" s="1" t="s">
        <v>30</v>
      </c>
      <c r="E369" s="1" t="s">
        <v>122</v>
      </c>
      <c r="F369" s="1" t="s">
        <v>18</v>
      </c>
      <c r="G369" s="1" t="s">
        <v>82</v>
      </c>
      <c r="H369" s="1" t="s">
        <v>61</v>
      </c>
      <c r="I369" s="1" t="s">
        <v>88</v>
      </c>
      <c r="J369" s="1">
        <v>10</v>
      </c>
      <c r="K369" s="15">
        <v>56.21</v>
      </c>
      <c r="L369" s="13">
        <v>0.2</v>
      </c>
      <c r="M369" s="10">
        <v>40.83</v>
      </c>
      <c r="N369" s="12">
        <f>(Table1[[#This Row],[Quantity]]*Table1[[#This Row],[Unit Price]])*(1-Table1[[#This Row],[Discount]])</f>
        <v>449.68000000000006</v>
      </c>
      <c r="O369" s="12">
        <f>(Table1[[#This Row],[Unit Price]]-Table1[[#This Row],[Unit Cost]])*Table1[[#This Row],[Quantity]]</f>
        <v>153.80000000000001</v>
      </c>
      <c r="P369" s="17" t="str">
        <f t="shared" si="5"/>
        <v>Bulk</v>
      </c>
      <c r="Q369" t="str">
        <f>IF(Table1[[#This Row],[Discount]]&gt;=15%,"HIGH",IF(Table1[[#This Row],[Discount]]&gt;=55,"MEDIUM","NONE"))</f>
        <v>HIGH</v>
      </c>
      <c r="R369">
        <f>Table1[[#This Row],[Ship Date]]-Table1[[#This Row],[Order Date]]</f>
        <v>2</v>
      </c>
    </row>
    <row r="370" spans="1:18" x14ac:dyDescent="0.25">
      <c r="A370" s="3" t="s">
        <v>846</v>
      </c>
      <c r="B370" s="2" t="s">
        <v>847</v>
      </c>
      <c r="C370" s="2" t="s">
        <v>298</v>
      </c>
      <c r="D370" s="1" t="s">
        <v>30</v>
      </c>
      <c r="E370" s="1" t="s">
        <v>87</v>
      </c>
      <c r="F370" s="1" t="s">
        <v>43</v>
      </c>
      <c r="G370" s="1" t="s">
        <v>97</v>
      </c>
      <c r="H370" s="1" t="s">
        <v>61</v>
      </c>
      <c r="I370" s="1" t="s">
        <v>88</v>
      </c>
      <c r="J370" s="1">
        <v>18</v>
      </c>
      <c r="K370" s="15">
        <v>59.12</v>
      </c>
      <c r="L370" s="13">
        <v>0.15</v>
      </c>
      <c r="M370" s="10">
        <v>42.96</v>
      </c>
      <c r="N370" s="12">
        <f>(Table1[[#This Row],[Quantity]]*Table1[[#This Row],[Unit Price]])*(1-Table1[[#This Row],[Discount]])</f>
        <v>904.53599999999983</v>
      </c>
      <c r="O370" s="12">
        <f>(Table1[[#This Row],[Unit Price]]-Table1[[#This Row],[Unit Cost]])*Table1[[#This Row],[Quantity]]</f>
        <v>290.87999999999994</v>
      </c>
      <c r="P370" s="17" t="str">
        <f t="shared" si="5"/>
        <v>Standard</v>
      </c>
      <c r="Q370" t="str">
        <f>IF(Table1[[#This Row],[Discount]]&gt;=15%,"HIGH",IF(Table1[[#This Row],[Discount]]&gt;=55,"MEDIUM","NONE"))</f>
        <v>HIGH</v>
      </c>
      <c r="R370">
        <f>Table1[[#This Row],[Ship Date]]-Table1[[#This Row],[Order Date]]</f>
        <v>3</v>
      </c>
    </row>
    <row r="371" spans="1:18" x14ac:dyDescent="0.25">
      <c r="A371" s="3" t="s">
        <v>848</v>
      </c>
      <c r="B371" s="2" t="s">
        <v>589</v>
      </c>
      <c r="C371" s="2" t="s">
        <v>849</v>
      </c>
      <c r="D371" s="1" t="s">
        <v>16</v>
      </c>
      <c r="E371" s="1" t="s">
        <v>66</v>
      </c>
      <c r="F371" s="1" t="s">
        <v>25</v>
      </c>
      <c r="G371" s="1" t="s">
        <v>97</v>
      </c>
      <c r="H371" s="1" t="s">
        <v>20</v>
      </c>
      <c r="I371" s="1" t="s">
        <v>21</v>
      </c>
      <c r="J371" s="1">
        <v>3</v>
      </c>
      <c r="K371" s="15">
        <v>352.56</v>
      </c>
      <c r="L371" s="13">
        <v>0</v>
      </c>
      <c r="M371" s="10">
        <v>200.96</v>
      </c>
      <c r="N371" s="12">
        <f>(Table1[[#This Row],[Quantity]]*Table1[[#This Row],[Unit Price]])*(1-Table1[[#This Row],[Discount]])</f>
        <v>1057.68</v>
      </c>
      <c r="O371" s="12">
        <f>(Table1[[#This Row],[Unit Price]]-Table1[[#This Row],[Unit Cost]])*Table1[[#This Row],[Quantity]]</f>
        <v>454.79999999999995</v>
      </c>
      <c r="P371" s="17" t="str">
        <f t="shared" si="5"/>
        <v>Bulk</v>
      </c>
      <c r="Q371" t="str">
        <f>IF(Table1[[#This Row],[Discount]]&gt;=15%,"HIGH",IF(Table1[[#This Row],[Discount]]&gt;=55,"MEDIUM","NONE"))</f>
        <v>NONE</v>
      </c>
      <c r="R371">
        <f>Table1[[#This Row],[Ship Date]]-Table1[[#This Row],[Order Date]]</f>
        <v>4</v>
      </c>
    </row>
    <row r="372" spans="1:18" x14ac:dyDescent="0.25">
      <c r="A372" s="3" t="s">
        <v>850</v>
      </c>
      <c r="B372" s="2" t="s">
        <v>801</v>
      </c>
      <c r="C372" s="2" t="s">
        <v>99</v>
      </c>
      <c r="D372" s="1" t="s">
        <v>30</v>
      </c>
      <c r="E372" s="1" t="s">
        <v>78</v>
      </c>
      <c r="F372" s="1" t="s">
        <v>43</v>
      </c>
      <c r="G372" s="1" t="s">
        <v>82</v>
      </c>
      <c r="H372" s="1" t="s">
        <v>33</v>
      </c>
      <c r="I372" s="1" t="s">
        <v>153</v>
      </c>
      <c r="J372" s="1">
        <v>1</v>
      </c>
      <c r="K372" s="15">
        <v>9.66</v>
      </c>
      <c r="L372" s="13">
        <v>0.15</v>
      </c>
      <c r="M372" s="10">
        <v>7.56</v>
      </c>
      <c r="N372" s="12">
        <f>(Table1[[#This Row],[Quantity]]*Table1[[#This Row],[Unit Price]])*(1-Table1[[#This Row],[Discount]])</f>
        <v>8.2110000000000003</v>
      </c>
      <c r="O372" s="12">
        <f>(Table1[[#This Row],[Unit Price]]-Table1[[#This Row],[Unit Cost]])*Table1[[#This Row],[Quantity]]</f>
        <v>2.1000000000000005</v>
      </c>
      <c r="P372" s="17" t="str">
        <f t="shared" si="5"/>
        <v>Standard</v>
      </c>
      <c r="Q372" t="str">
        <f>IF(Table1[[#This Row],[Discount]]&gt;=15%,"HIGH",IF(Table1[[#This Row],[Discount]]&gt;=55,"MEDIUM","NONE"))</f>
        <v>HIGH</v>
      </c>
      <c r="R372">
        <f>Table1[[#This Row],[Ship Date]]-Table1[[#This Row],[Order Date]]</f>
        <v>2</v>
      </c>
    </row>
    <row r="373" spans="1:18" x14ac:dyDescent="0.25">
      <c r="A373" s="3" t="s">
        <v>851</v>
      </c>
      <c r="B373" s="2" t="s">
        <v>852</v>
      </c>
      <c r="C373" s="2" t="s">
        <v>853</v>
      </c>
      <c r="D373" s="1" t="s">
        <v>16</v>
      </c>
      <c r="E373" s="1" t="s">
        <v>133</v>
      </c>
      <c r="F373" s="1" t="s">
        <v>25</v>
      </c>
      <c r="G373" s="1" t="s">
        <v>32</v>
      </c>
      <c r="H373" s="1" t="s">
        <v>45</v>
      </c>
      <c r="I373" s="1" t="s">
        <v>83</v>
      </c>
      <c r="J373" s="1">
        <v>21</v>
      </c>
      <c r="K373" s="15">
        <v>60.21</v>
      </c>
      <c r="L373" s="13">
        <v>0</v>
      </c>
      <c r="M373" s="10">
        <v>34.42</v>
      </c>
      <c r="N373" s="12">
        <f>(Table1[[#This Row],[Quantity]]*Table1[[#This Row],[Unit Price]])*(1-Table1[[#This Row],[Discount]])</f>
        <v>1264.4100000000001</v>
      </c>
      <c r="O373" s="12">
        <f>(Table1[[#This Row],[Unit Price]]-Table1[[#This Row],[Unit Cost]])*Table1[[#This Row],[Quantity]]</f>
        <v>541.59</v>
      </c>
      <c r="P373" s="17" t="str">
        <f t="shared" si="5"/>
        <v>Standard</v>
      </c>
      <c r="Q373" t="str">
        <f>IF(Table1[[#This Row],[Discount]]&gt;=15%,"HIGH",IF(Table1[[#This Row],[Discount]]&gt;=55,"MEDIUM","NONE"))</f>
        <v>NONE</v>
      </c>
      <c r="R373">
        <f>Table1[[#This Row],[Ship Date]]-Table1[[#This Row],[Order Date]]</f>
        <v>6</v>
      </c>
    </row>
    <row r="374" spans="1:18" x14ac:dyDescent="0.25">
      <c r="A374" s="3" t="s">
        <v>854</v>
      </c>
      <c r="B374" s="2" t="s">
        <v>855</v>
      </c>
      <c r="C374" s="2" t="s">
        <v>855</v>
      </c>
      <c r="D374" s="1" t="s">
        <v>24</v>
      </c>
      <c r="E374" s="1" t="s">
        <v>87</v>
      </c>
      <c r="F374" s="1" t="s">
        <v>38</v>
      </c>
      <c r="G374" s="1" t="s">
        <v>26</v>
      </c>
      <c r="H374" s="1" t="s">
        <v>61</v>
      </c>
      <c r="I374" s="1" t="s">
        <v>62</v>
      </c>
      <c r="J374" s="1">
        <v>23</v>
      </c>
      <c r="K374" s="15">
        <v>15.49</v>
      </c>
      <c r="L374" s="13">
        <v>0</v>
      </c>
      <c r="M374" s="10">
        <v>10.65</v>
      </c>
      <c r="N374" s="12">
        <f>(Table1[[#This Row],[Quantity]]*Table1[[#This Row],[Unit Price]])*(1-Table1[[#This Row],[Discount]])</f>
        <v>356.27</v>
      </c>
      <c r="O374" s="12">
        <f>(Table1[[#This Row],[Unit Price]]-Table1[[#This Row],[Unit Cost]])*Table1[[#This Row],[Quantity]]</f>
        <v>111.32</v>
      </c>
      <c r="P374" s="17" t="str">
        <f t="shared" si="5"/>
        <v>Bulk</v>
      </c>
      <c r="Q374" t="str">
        <f>IF(Table1[[#This Row],[Discount]]&gt;=15%,"HIGH",IF(Table1[[#This Row],[Discount]]&gt;=55,"MEDIUM","NONE"))</f>
        <v>NONE</v>
      </c>
      <c r="R374">
        <f>Table1[[#This Row],[Ship Date]]-Table1[[#This Row],[Order Date]]</f>
        <v>0</v>
      </c>
    </row>
    <row r="375" spans="1:18" x14ac:dyDescent="0.25">
      <c r="A375" s="3" t="s">
        <v>856</v>
      </c>
      <c r="B375" s="2" t="s">
        <v>715</v>
      </c>
      <c r="C375" s="2" t="s">
        <v>715</v>
      </c>
      <c r="D375" s="1" t="s">
        <v>24</v>
      </c>
      <c r="E375" s="1" t="s">
        <v>75</v>
      </c>
      <c r="F375" s="1" t="s">
        <v>25</v>
      </c>
      <c r="G375" s="1" t="s">
        <v>97</v>
      </c>
      <c r="H375" s="1" t="s">
        <v>45</v>
      </c>
      <c r="I375" s="1" t="s">
        <v>83</v>
      </c>
      <c r="J375" s="1">
        <v>1</v>
      </c>
      <c r="K375" s="15">
        <v>253.22</v>
      </c>
      <c r="L375" s="13">
        <v>0.05</v>
      </c>
      <c r="M375" s="10">
        <v>171.32</v>
      </c>
      <c r="N375" s="12">
        <f>(Table1[[#This Row],[Quantity]]*Table1[[#This Row],[Unit Price]])*(1-Table1[[#This Row],[Discount]])</f>
        <v>240.559</v>
      </c>
      <c r="O375" s="12">
        <f>(Table1[[#This Row],[Unit Price]]-Table1[[#This Row],[Unit Cost]])*Table1[[#This Row],[Quantity]]</f>
        <v>81.900000000000006</v>
      </c>
      <c r="P375" s="17" t="str">
        <f t="shared" si="5"/>
        <v>Bulk</v>
      </c>
      <c r="Q375" t="str">
        <f>IF(Table1[[#This Row],[Discount]]&gt;=15%,"HIGH",IF(Table1[[#This Row],[Discount]]&gt;=55,"MEDIUM","NONE"))</f>
        <v>NONE</v>
      </c>
      <c r="R375">
        <f>Table1[[#This Row],[Ship Date]]-Table1[[#This Row],[Order Date]]</f>
        <v>0</v>
      </c>
    </row>
    <row r="376" spans="1:18" x14ac:dyDescent="0.25">
      <c r="A376" s="3" t="s">
        <v>857</v>
      </c>
      <c r="B376" s="2" t="s">
        <v>858</v>
      </c>
      <c r="C376" s="2" t="s">
        <v>858</v>
      </c>
      <c r="D376" s="1" t="s">
        <v>24</v>
      </c>
      <c r="E376" s="1" t="s">
        <v>122</v>
      </c>
      <c r="F376" s="1" t="s">
        <v>18</v>
      </c>
      <c r="G376" s="1" t="s">
        <v>44</v>
      </c>
      <c r="H376" s="1" t="s">
        <v>20</v>
      </c>
      <c r="I376" s="1" t="s">
        <v>192</v>
      </c>
      <c r="J376" s="1">
        <v>15</v>
      </c>
      <c r="K376" s="15">
        <v>1160.96</v>
      </c>
      <c r="L376" s="13">
        <v>0.1</v>
      </c>
      <c r="M376" s="10">
        <v>778.9</v>
      </c>
      <c r="N376" s="12">
        <f>(Table1[[#This Row],[Quantity]]*Table1[[#This Row],[Unit Price]])*(1-Table1[[#This Row],[Discount]])</f>
        <v>15672.960000000001</v>
      </c>
      <c r="O376" s="12">
        <f>(Table1[[#This Row],[Unit Price]]-Table1[[#This Row],[Unit Cost]])*Table1[[#This Row],[Quantity]]</f>
        <v>5730.9000000000005</v>
      </c>
      <c r="P376" s="17" t="str">
        <f t="shared" si="5"/>
        <v>Standard</v>
      </c>
      <c r="Q376" t="str">
        <f>IF(Table1[[#This Row],[Discount]]&gt;=15%,"HIGH",IF(Table1[[#This Row],[Discount]]&gt;=55,"MEDIUM","NONE"))</f>
        <v>NONE</v>
      </c>
      <c r="R376">
        <f>Table1[[#This Row],[Ship Date]]-Table1[[#This Row],[Order Date]]</f>
        <v>0</v>
      </c>
    </row>
    <row r="377" spans="1:18" x14ac:dyDescent="0.25">
      <c r="A377" s="3" t="s">
        <v>859</v>
      </c>
      <c r="B377" s="2" t="s">
        <v>860</v>
      </c>
      <c r="C377" s="2" t="s">
        <v>182</v>
      </c>
      <c r="D377" s="1" t="s">
        <v>30</v>
      </c>
      <c r="E377" s="1" t="s">
        <v>66</v>
      </c>
      <c r="F377" s="1" t="s">
        <v>43</v>
      </c>
      <c r="G377" s="1" t="s">
        <v>67</v>
      </c>
      <c r="H377" s="1" t="s">
        <v>61</v>
      </c>
      <c r="I377" s="1" t="s">
        <v>72</v>
      </c>
      <c r="J377" s="1">
        <v>3</v>
      </c>
      <c r="K377" s="15">
        <v>40.61</v>
      </c>
      <c r="L377" s="13">
        <v>0.2</v>
      </c>
      <c r="M377" s="10">
        <v>32.43</v>
      </c>
      <c r="N377" s="12">
        <f>(Table1[[#This Row],[Quantity]]*Table1[[#This Row],[Unit Price]])*(1-Table1[[#This Row],[Discount]])</f>
        <v>97.463999999999999</v>
      </c>
      <c r="O377" s="12">
        <f>(Table1[[#This Row],[Unit Price]]-Table1[[#This Row],[Unit Cost]])*Table1[[#This Row],[Quantity]]</f>
        <v>24.54</v>
      </c>
      <c r="P377" s="17" t="str">
        <f t="shared" si="5"/>
        <v>Bulk</v>
      </c>
      <c r="Q377" t="str">
        <f>IF(Table1[[#This Row],[Discount]]&gt;=15%,"HIGH",IF(Table1[[#This Row],[Discount]]&gt;=55,"MEDIUM","NONE"))</f>
        <v>HIGH</v>
      </c>
      <c r="R377">
        <f>Table1[[#This Row],[Ship Date]]-Table1[[#This Row],[Order Date]]</f>
        <v>3</v>
      </c>
    </row>
    <row r="378" spans="1:18" x14ac:dyDescent="0.25">
      <c r="A378" s="3" t="s">
        <v>861</v>
      </c>
      <c r="B378" s="2" t="s">
        <v>862</v>
      </c>
      <c r="C378" s="2" t="s">
        <v>863</v>
      </c>
      <c r="D378" s="1" t="s">
        <v>16</v>
      </c>
      <c r="E378" s="1" t="s">
        <v>91</v>
      </c>
      <c r="F378" s="1" t="s">
        <v>38</v>
      </c>
      <c r="G378" s="1" t="s">
        <v>44</v>
      </c>
      <c r="H378" s="1" t="s">
        <v>33</v>
      </c>
      <c r="I378" s="1" t="s">
        <v>153</v>
      </c>
      <c r="J378" s="1">
        <v>10</v>
      </c>
      <c r="K378" s="15">
        <v>5.53</v>
      </c>
      <c r="L378" s="13">
        <v>0.15</v>
      </c>
      <c r="M378" s="10">
        <v>4.08</v>
      </c>
      <c r="N378" s="12">
        <f>(Table1[[#This Row],[Quantity]]*Table1[[#This Row],[Unit Price]])*(1-Table1[[#This Row],[Discount]])</f>
        <v>47.005000000000003</v>
      </c>
      <c r="O378" s="12">
        <f>(Table1[[#This Row],[Unit Price]]-Table1[[#This Row],[Unit Cost]])*Table1[[#This Row],[Quantity]]</f>
        <v>14.500000000000002</v>
      </c>
      <c r="P378" s="17" t="str">
        <f t="shared" si="5"/>
        <v>Standard</v>
      </c>
      <c r="Q378" t="str">
        <f>IF(Table1[[#This Row],[Discount]]&gt;=15%,"HIGH",IF(Table1[[#This Row],[Discount]]&gt;=55,"MEDIUM","NONE"))</f>
        <v>HIGH</v>
      </c>
      <c r="R378">
        <f>Table1[[#This Row],[Ship Date]]-Table1[[#This Row],[Order Date]]</f>
        <v>6</v>
      </c>
    </row>
    <row r="379" spans="1:18" x14ac:dyDescent="0.25">
      <c r="A379" s="3" t="s">
        <v>864</v>
      </c>
      <c r="B379" s="2" t="s">
        <v>845</v>
      </c>
      <c r="C379" s="2" t="s">
        <v>845</v>
      </c>
      <c r="D379" s="1" t="s">
        <v>24</v>
      </c>
      <c r="E379" s="1" t="s">
        <v>206</v>
      </c>
      <c r="F379" s="1" t="s">
        <v>18</v>
      </c>
      <c r="G379" s="1" t="s">
        <v>19</v>
      </c>
      <c r="H379" s="1" t="s">
        <v>45</v>
      </c>
      <c r="I379" s="1" t="s">
        <v>143</v>
      </c>
      <c r="J379" s="1">
        <v>9</v>
      </c>
      <c r="K379" s="15">
        <v>195.26</v>
      </c>
      <c r="L379" s="13">
        <v>0.15</v>
      </c>
      <c r="M379" s="10">
        <v>140.74</v>
      </c>
      <c r="N379" s="12">
        <f>(Table1[[#This Row],[Quantity]]*Table1[[#This Row],[Unit Price]])*(1-Table1[[#This Row],[Discount]])</f>
        <v>1493.7389999999998</v>
      </c>
      <c r="O379" s="12">
        <f>(Table1[[#This Row],[Unit Price]]-Table1[[#This Row],[Unit Cost]])*Table1[[#This Row],[Quantity]]</f>
        <v>490.67999999999984</v>
      </c>
      <c r="P379" s="17" t="str">
        <f t="shared" si="5"/>
        <v>Standard</v>
      </c>
      <c r="Q379" t="str">
        <f>IF(Table1[[#This Row],[Discount]]&gt;=15%,"HIGH",IF(Table1[[#This Row],[Discount]]&gt;=55,"MEDIUM","NONE"))</f>
        <v>HIGH</v>
      </c>
      <c r="R379">
        <f>Table1[[#This Row],[Ship Date]]-Table1[[#This Row],[Order Date]]</f>
        <v>0</v>
      </c>
    </row>
    <row r="380" spans="1:18" x14ac:dyDescent="0.25">
      <c r="A380" s="3" t="s">
        <v>865</v>
      </c>
      <c r="B380" s="2" t="s">
        <v>780</v>
      </c>
      <c r="C380" s="2" t="s">
        <v>437</v>
      </c>
      <c r="D380" s="1" t="s">
        <v>16</v>
      </c>
      <c r="E380" s="1" t="s">
        <v>87</v>
      </c>
      <c r="F380" s="1" t="s">
        <v>18</v>
      </c>
      <c r="G380" s="1" t="s">
        <v>19</v>
      </c>
      <c r="H380" s="1" t="s">
        <v>45</v>
      </c>
      <c r="I380" s="1" t="s">
        <v>68</v>
      </c>
      <c r="J380" s="1">
        <v>8</v>
      </c>
      <c r="K380" s="15">
        <v>678.89</v>
      </c>
      <c r="L380" s="13">
        <v>0</v>
      </c>
      <c r="M380" s="18">
        <v>399.87</v>
      </c>
      <c r="N380" s="12">
        <f>(Table1[[#This Row],[Quantity]]*Table1[[#This Row],[Unit Price]])*(1-Table1[[#This Row],[Discount]])</f>
        <v>5431.12</v>
      </c>
      <c r="O380" s="12">
        <f>(Table1[[#This Row],[Unit Price]]-Table1[[#This Row],[Unit Cost]])*Table1[[#This Row],[Quantity]]</f>
        <v>2232.16</v>
      </c>
      <c r="P380" s="17" t="str">
        <f t="shared" si="5"/>
        <v>Standard</v>
      </c>
      <c r="Q380" t="str">
        <f>IF(Table1[[#This Row],[Discount]]&gt;=15%,"HIGH",IF(Table1[[#This Row],[Discount]]&gt;=55,"MEDIUM","NONE"))</f>
        <v>NONE</v>
      </c>
      <c r="R380">
        <f>Table1[[#This Row],[Ship Date]]-Table1[[#This Row],[Order Date]]</f>
        <v>4</v>
      </c>
    </row>
    <row r="381" spans="1:18" x14ac:dyDescent="0.25">
      <c r="A381" s="3" t="s">
        <v>866</v>
      </c>
      <c r="B381" s="2" t="s">
        <v>761</v>
      </c>
      <c r="C381" s="2" t="s">
        <v>355</v>
      </c>
      <c r="D381" s="1" t="s">
        <v>30</v>
      </c>
      <c r="E381" s="1" t="s">
        <v>122</v>
      </c>
      <c r="F381" s="1" t="s">
        <v>43</v>
      </c>
      <c r="G381" s="1" t="s">
        <v>26</v>
      </c>
      <c r="H381" s="1" t="s">
        <v>61</v>
      </c>
      <c r="I381" s="1" t="s">
        <v>72</v>
      </c>
      <c r="J381" s="1">
        <v>12</v>
      </c>
      <c r="K381" s="15">
        <v>59.65</v>
      </c>
      <c r="L381" s="13">
        <v>0.05</v>
      </c>
      <c r="M381" s="18">
        <v>46.2</v>
      </c>
      <c r="N381" s="12">
        <f>(Table1[[#This Row],[Quantity]]*Table1[[#This Row],[Unit Price]])*(1-Table1[[#This Row],[Discount]])</f>
        <v>680.00999999999988</v>
      </c>
      <c r="O381" s="12">
        <f>(Table1[[#This Row],[Unit Price]]-Table1[[#This Row],[Unit Cost]])*Table1[[#This Row],[Quantity]]</f>
        <v>161.39999999999995</v>
      </c>
      <c r="P381" s="17" t="str">
        <f t="shared" si="5"/>
        <v>Standard</v>
      </c>
      <c r="Q381" t="str">
        <f>IF(Table1[[#This Row],[Discount]]&gt;=15%,"HIGH",IF(Table1[[#This Row],[Discount]]&gt;=55,"MEDIUM","NONE"))</f>
        <v>NONE</v>
      </c>
      <c r="R381">
        <f>Table1[[#This Row],[Ship Date]]-Table1[[#This Row],[Order Date]]</f>
        <v>3</v>
      </c>
    </row>
    <row r="382" spans="1:18" x14ac:dyDescent="0.25">
      <c r="A382" s="3" t="s">
        <v>867</v>
      </c>
      <c r="B382" s="2" t="s">
        <v>868</v>
      </c>
      <c r="C382" s="2" t="s">
        <v>869</v>
      </c>
      <c r="D382" s="1" t="s">
        <v>16</v>
      </c>
      <c r="E382" s="1" t="s">
        <v>109</v>
      </c>
      <c r="F382" s="1" t="s">
        <v>25</v>
      </c>
      <c r="G382" s="1" t="s">
        <v>50</v>
      </c>
      <c r="H382" s="1" t="s">
        <v>33</v>
      </c>
      <c r="I382" s="1" t="s">
        <v>76</v>
      </c>
      <c r="J382" s="1">
        <v>17</v>
      </c>
      <c r="K382" s="15">
        <v>32.369999999999997</v>
      </c>
      <c r="L382" s="13">
        <v>0.05</v>
      </c>
      <c r="M382" s="18">
        <v>25.41</v>
      </c>
      <c r="N382" s="12">
        <f>(Table1[[#This Row],[Quantity]]*Table1[[#This Row],[Unit Price]])*(1-Table1[[#This Row],[Discount]])</f>
        <v>522.77549999999997</v>
      </c>
      <c r="O382" s="12">
        <f>(Table1[[#This Row],[Unit Price]]-Table1[[#This Row],[Unit Cost]])*Table1[[#This Row],[Quantity]]</f>
        <v>118.31999999999995</v>
      </c>
      <c r="P382" s="17" t="str">
        <f t="shared" si="5"/>
        <v>Bulk</v>
      </c>
      <c r="Q382" t="str">
        <f>IF(Table1[[#This Row],[Discount]]&gt;=15%,"HIGH",IF(Table1[[#This Row],[Discount]]&gt;=55,"MEDIUM","NONE"))</f>
        <v>NONE</v>
      </c>
      <c r="R382">
        <f>Table1[[#This Row],[Ship Date]]-Table1[[#This Row],[Order Date]]</f>
        <v>4</v>
      </c>
    </row>
    <row r="383" spans="1:18" x14ac:dyDescent="0.25">
      <c r="A383" s="3" t="s">
        <v>870</v>
      </c>
      <c r="B383" s="2" t="s">
        <v>871</v>
      </c>
      <c r="C383" s="2" t="s">
        <v>872</v>
      </c>
      <c r="D383" s="1" t="s">
        <v>30</v>
      </c>
      <c r="E383" s="1" t="s">
        <v>71</v>
      </c>
      <c r="F383" s="1" t="s">
        <v>43</v>
      </c>
      <c r="G383" s="1" t="s">
        <v>82</v>
      </c>
      <c r="H383" s="1" t="s">
        <v>45</v>
      </c>
      <c r="I383" s="1" t="s">
        <v>143</v>
      </c>
      <c r="J383" s="1">
        <v>23</v>
      </c>
      <c r="K383" s="15">
        <v>66.23</v>
      </c>
      <c r="L383" s="13">
        <v>0.15</v>
      </c>
      <c r="M383" s="18">
        <v>39.92</v>
      </c>
      <c r="N383" s="12">
        <f>(Table1[[#This Row],[Quantity]]*Table1[[#This Row],[Unit Price]])*(1-Table1[[#This Row],[Discount]])</f>
        <v>1294.7965000000002</v>
      </c>
      <c r="O383" s="12">
        <f>(Table1[[#This Row],[Unit Price]]-Table1[[#This Row],[Unit Cost]])*Table1[[#This Row],[Quantity]]</f>
        <v>605.13000000000011</v>
      </c>
      <c r="P383" s="17" t="str">
        <f t="shared" si="5"/>
        <v>Bulk</v>
      </c>
      <c r="Q383" t="str">
        <f>IF(Table1[[#This Row],[Discount]]&gt;=15%,"HIGH",IF(Table1[[#This Row],[Discount]]&gt;=55,"MEDIUM","NONE"))</f>
        <v>HIGH</v>
      </c>
      <c r="R383">
        <f>Table1[[#This Row],[Ship Date]]-Table1[[#This Row],[Order Date]]</f>
        <v>3</v>
      </c>
    </row>
    <row r="384" spans="1:18" x14ac:dyDescent="0.25">
      <c r="A384" s="3" t="s">
        <v>873</v>
      </c>
      <c r="B384" s="2" t="s">
        <v>64</v>
      </c>
      <c r="C384" s="2" t="s">
        <v>874</v>
      </c>
      <c r="D384" s="1" t="s">
        <v>30</v>
      </c>
      <c r="E384" s="1" t="s">
        <v>37</v>
      </c>
      <c r="F384" s="1" t="s">
        <v>38</v>
      </c>
      <c r="G384" s="1" t="s">
        <v>19</v>
      </c>
      <c r="H384" s="1" t="s">
        <v>33</v>
      </c>
      <c r="I384" s="1" t="s">
        <v>51</v>
      </c>
      <c r="J384" s="1">
        <v>16</v>
      </c>
      <c r="K384" s="15">
        <v>38.42</v>
      </c>
      <c r="L384" s="13">
        <v>0</v>
      </c>
      <c r="M384" s="18">
        <v>24.65</v>
      </c>
      <c r="N384" s="12">
        <f>(Table1[[#This Row],[Quantity]]*Table1[[#This Row],[Unit Price]])*(1-Table1[[#This Row],[Discount]])</f>
        <v>614.72</v>
      </c>
      <c r="O384" s="12">
        <f>(Table1[[#This Row],[Unit Price]]-Table1[[#This Row],[Unit Cost]])*Table1[[#This Row],[Quantity]]</f>
        <v>220.32000000000005</v>
      </c>
      <c r="P384" s="17" t="str">
        <f t="shared" si="5"/>
        <v>Bulk</v>
      </c>
      <c r="Q384" t="str">
        <f>IF(Table1[[#This Row],[Discount]]&gt;=15%,"HIGH",IF(Table1[[#This Row],[Discount]]&gt;=55,"MEDIUM","NONE"))</f>
        <v>NONE</v>
      </c>
      <c r="R384">
        <f>Table1[[#This Row],[Ship Date]]-Table1[[#This Row],[Order Date]]</f>
        <v>3</v>
      </c>
    </row>
    <row r="385" spans="1:18" x14ac:dyDescent="0.25">
      <c r="A385" s="3" t="s">
        <v>875</v>
      </c>
      <c r="B385" s="2" t="s">
        <v>806</v>
      </c>
      <c r="C385" s="2" t="s">
        <v>604</v>
      </c>
      <c r="D385" s="1" t="s">
        <v>30</v>
      </c>
      <c r="E385" s="1" t="s">
        <v>55</v>
      </c>
      <c r="F385" s="1" t="s">
        <v>18</v>
      </c>
      <c r="G385" s="1" t="s">
        <v>44</v>
      </c>
      <c r="H385" s="1" t="s">
        <v>61</v>
      </c>
      <c r="I385" s="1" t="s">
        <v>169</v>
      </c>
      <c r="J385" s="1">
        <v>6</v>
      </c>
      <c r="K385" s="15">
        <v>55.71</v>
      </c>
      <c r="L385" s="13">
        <v>0.1</v>
      </c>
      <c r="M385" s="18">
        <v>40.19</v>
      </c>
      <c r="N385" s="12">
        <f>(Table1[[#This Row],[Quantity]]*Table1[[#This Row],[Unit Price]])*(1-Table1[[#This Row],[Discount]])</f>
        <v>300.834</v>
      </c>
      <c r="O385" s="12">
        <f>(Table1[[#This Row],[Unit Price]]-Table1[[#This Row],[Unit Cost]])*Table1[[#This Row],[Quantity]]</f>
        <v>93.120000000000019</v>
      </c>
      <c r="P385" s="17" t="str">
        <f t="shared" si="5"/>
        <v>Bulk</v>
      </c>
      <c r="Q385" t="str">
        <f>IF(Table1[[#This Row],[Discount]]&gt;=15%,"HIGH",IF(Table1[[#This Row],[Discount]]&gt;=55,"MEDIUM","NONE"))</f>
        <v>NONE</v>
      </c>
      <c r="R385">
        <f>Table1[[#This Row],[Ship Date]]-Table1[[#This Row],[Order Date]]</f>
        <v>3</v>
      </c>
    </row>
    <row r="386" spans="1:18" x14ac:dyDescent="0.25">
      <c r="A386" s="3" t="s">
        <v>876</v>
      </c>
      <c r="B386" s="2" t="s">
        <v>877</v>
      </c>
      <c r="C386" s="2" t="s">
        <v>878</v>
      </c>
      <c r="D386" s="1" t="s">
        <v>30</v>
      </c>
      <c r="E386" s="1" t="s">
        <v>59</v>
      </c>
      <c r="F386" s="1" t="s">
        <v>25</v>
      </c>
      <c r="G386" s="1" t="s">
        <v>50</v>
      </c>
      <c r="H386" s="1" t="s">
        <v>61</v>
      </c>
      <c r="I386" s="1" t="s">
        <v>62</v>
      </c>
      <c r="J386" s="1">
        <v>1</v>
      </c>
      <c r="K386" s="15">
        <v>24.13</v>
      </c>
      <c r="L386" s="13">
        <v>0.05</v>
      </c>
      <c r="M386" s="18">
        <v>14.08</v>
      </c>
      <c r="N386" s="12">
        <f>(Table1[[#This Row],[Quantity]]*Table1[[#This Row],[Unit Price]])*(1-Table1[[#This Row],[Discount]])</f>
        <v>22.923499999999997</v>
      </c>
      <c r="O386" s="12">
        <f>(Table1[[#This Row],[Unit Price]]-Table1[[#This Row],[Unit Cost]])*Table1[[#This Row],[Quantity]]</f>
        <v>10.049999999999999</v>
      </c>
      <c r="P386" s="17" t="str">
        <f t="shared" ref="P386:P401" si="6">IF(J385&gt;10,"Bulk","Standard")</f>
        <v>Standard</v>
      </c>
      <c r="Q386" t="str">
        <f>IF(Table1[[#This Row],[Discount]]&gt;=15%,"HIGH",IF(Table1[[#This Row],[Discount]]&gt;=55,"MEDIUM","NONE"))</f>
        <v>NONE</v>
      </c>
      <c r="R386">
        <f>Table1[[#This Row],[Ship Date]]-Table1[[#This Row],[Order Date]]</f>
        <v>3</v>
      </c>
    </row>
    <row r="387" spans="1:18" x14ac:dyDescent="0.25">
      <c r="A387" s="3" t="s">
        <v>879</v>
      </c>
      <c r="B387" s="2" t="s">
        <v>880</v>
      </c>
      <c r="C387" s="2" t="s">
        <v>468</v>
      </c>
      <c r="D387" s="1" t="s">
        <v>16</v>
      </c>
      <c r="E387" s="1" t="s">
        <v>133</v>
      </c>
      <c r="F387" s="1" t="s">
        <v>38</v>
      </c>
      <c r="G387" s="1" t="s">
        <v>97</v>
      </c>
      <c r="H387" s="1" t="s">
        <v>33</v>
      </c>
      <c r="I387" s="1" t="s">
        <v>153</v>
      </c>
      <c r="J387" s="1">
        <v>23</v>
      </c>
      <c r="K387" s="15">
        <v>8.2100000000000009</v>
      </c>
      <c r="L387" s="13">
        <v>0</v>
      </c>
      <c r="M387" s="18">
        <v>6.19</v>
      </c>
      <c r="N387" s="12">
        <f>(Table1[[#This Row],[Quantity]]*Table1[[#This Row],[Unit Price]])*(1-Table1[[#This Row],[Discount]])</f>
        <v>188.83</v>
      </c>
      <c r="O387" s="12">
        <f>(Table1[[#This Row],[Unit Price]]-Table1[[#This Row],[Unit Cost]])*Table1[[#This Row],[Quantity]]</f>
        <v>46.460000000000008</v>
      </c>
      <c r="P387" s="17" t="str">
        <f t="shared" si="6"/>
        <v>Standard</v>
      </c>
      <c r="Q387" t="str">
        <f>IF(Table1[[#This Row],[Discount]]&gt;=15%,"HIGH",IF(Table1[[#This Row],[Discount]]&gt;=55,"MEDIUM","NONE"))</f>
        <v>NONE</v>
      </c>
      <c r="R387">
        <f>Table1[[#This Row],[Ship Date]]-Table1[[#This Row],[Order Date]]</f>
        <v>7</v>
      </c>
    </row>
    <row r="388" spans="1:18" x14ac:dyDescent="0.25">
      <c r="A388" s="3" t="s">
        <v>881</v>
      </c>
      <c r="B388" s="2" t="s">
        <v>102</v>
      </c>
      <c r="C388" s="2" t="s">
        <v>641</v>
      </c>
      <c r="D388" s="1" t="s">
        <v>30</v>
      </c>
      <c r="E388" s="1" t="s">
        <v>206</v>
      </c>
      <c r="F388" s="1" t="s">
        <v>18</v>
      </c>
      <c r="G388" s="1" t="s">
        <v>44</v>
      </c>
      <c r="H388" s="1" t="s">
        <v>33</v>
      </c>
      <c r="I388" s="1" t="s">
        <v>39</v>
      </c>
      <c r="J388" s="1">
        <v>1</v>
      </c>
      <c r="K388" s="15">
        <v>17.649999999999999</v>
      </c>
      <c r="L388" s="13">
        <v>0</v>
      </c>
      <c r="M388" s="18">
        <v>13.53</v>
      </c>
      <c r="N388" s="12">
        <f>(Table1[[#This Row],[Quantity]]*Table1[[#This Row],[Unit Price]])*(1-Table1[[#This Row],[Discount]])</f>
        <v>17.649999999999999</v>
      </c>
      <c r="O388" s="12">
        <f>(Table1[[#This Row],[Unit Price]]-Table1[[#This Row],[Unit Cost]])*Table1[[#This Row],[Quantity]]</f>
        <v>4.1199999999999992</v>
      </c>
      <c r="P388" s="17" t="str">
        <f t="shared" si="6"/>
        <v>Bulk</v>
      </c>
      <c r="Q388" t="str">
        <f>IF(Table1[[#This Row],[Discount]]&gt;=15%,"HIGH",IF(Table1[[#This Row],[Discount]]&gt;=55,"MEDIUM","NONE"))</f>
        <v>NONE</v>
      </c>
      <c r="R388">
        <f>Table1[[#This Row],[Ship Date]]-Table1[[#This Row],[Order Date]]</f>
        <v>2</v>
      </c>
    </row>
    <row r="389" spans="1:18" x14ac:dyDescent="0.25">
      <c r="A389" s="3" t="s">
        <v>882</v>
      </c>
      <c r="B389" s="2" t="s">
        <v>461</v>
      </c>
      <c r="C389" s="2" t="s">
        <v>883</v>
      </c>
      <c r="D389" s="1" t="s">
        <v>16</v>
      </c>
      <c r="E389" s="1" t="s">
        <v>66</v>
      </c>
      <c r="F389" s="1" t="s">
        <v>38</v>
      </c>
      <c r="G389" s="1" t="s">
        <v>82</v>
      </c>
      <c r="H389" s="1" t="s">
        <v>33</v>
      </c>
      <c r="I389" s="1" t="s">
        <v>39</v>
      </c>
      <c r="J389" s="1">
        <v>13</v>
      </c>
      <c r="K389" s="15">
        <v>25.32</v>
      </c>
      <c r="L389" s="13">
        <v>0.05</v>
      </c>
      <c r="M389" s="18">
        <v>17.920000000000002</v>
      </c>
      <c r="N389" s="12">
        <f>(Table1[[#This Row],[Quantity]]*Table1[[#This Row],[Unit Price]])*(1-Table1[[#This Row],[Discount]])</f>
        <v>312.702</v>
      </c>
      <c r="O389" s="12">
        <f>(Table1[[#This Row],[Unit Price]]-Table1[[#This Row],[Unit Cost]])*Table1[[#This Row],[Quantity]]</f>
        <v>96.199999999999989</v>
      </c>
      <c r="P389" s="17" t="str">
        <f t="shared" si="6"/>
        <v>Standard</v>
      </c>
      <c r="Q389" t="str">
        <f>IF(Table1[[#This Row],[Discount]]&gt;=15%,"HIGH",IF(Table1[[#This Row],[Discount]]&gt;=55,"MEDIUM","NONE"))</f>
        <v>NONE</v>
      </c>
      <c r="R389">
        <f>Table1[[#This Row],[Ship Date]]-Table1[[#This Row],[Order Date]]</f>
        <v>5</v>
      </c>
    </row>
    <row r="390" spans="1:18" x14ac:dyDescent="0.25">
      <c r="A390" s="3" t="s">
        <v>884</v>
      </c>
      <c r="B390" s="2" t="s">
        <v>849</v>
      </c>
      <c r="C390" s="2" t="s">
        <v>885</v>
      </c>
      <c r="D390" s="1" t="s">
        <v>16</v>
      </c>
      <c r="E390" s="1" t="s">
        <v>109</v>
      </c>
      <c r="F390" s="1" t="s">
        <v>38</v>
      </c>
      <c r="G390" s="1" t="s">
        <v>97</v>
      </c>
      <c r="H390" s="1" t="s">
        <v>33</v>
      </c>
      <c r="I390" s="1" t="s">
        <v>76</v>
      </c>
      <c r="J390" s="1">
        <v>3</v>
      </c>
      <c r="K390" s="15">
        <v>8.16</v>
      </c>
      <c r="L390" s="13">
        <v>0</v>
      </c>
      <c r="M390" s="18">
        <v>5.13</v>
      </c>
      <c r="N390" s="12">
        <f>(Table1[[#This Row],[Quantity]]*Table1[[#This Row],[Unit Price]])*(1-Table1[[#This Row],[Discount]])</f>
        <v>24.48</v>
      </c>
      <c r="O390" s="12">
        <f>(Table1[[#This Row],[Unit Price]]-Table1[[#This Row],[Unit Cost]])*Table1[[#This Row],[Quantity]]</f>
        <v>9.09</v>
      </c>
      <c r="P390" s="17" t="str">
        <f t="shared" si="6"/>
        <v>Bulk</v>
      </c>
      <c r="Q390" t="str">
        <f>IF(Table1[[#This Row],[Discount]]&gt;=15%,"HIGH",IF(Table1[[#This Row],[Discount]]&gt;=55,"MEDIUM","NONE"))</f>
        <v>NONE</v>
      </c>
      <c r="R390">
        <f>Table1[[#This Row],[Ship Date]]-Table1[[#This Row],[Order Date]]</f>
        <v>6</v>
      </c>
    </row>
    <row r="391" spans="1:18" x14ac:dyDescent="0.25">
      <c r="A391" s="3" t="s">
        <v>886</v>
      </c>
      <c r="B391" s="2" t="s">
        <v>663</v>
      </c>
      <c r="C391" s="2" t="s">
        <v>306</v>
      </c>
      <c r="D391" s="1" t="s">
        <v>30</v>
      </c>
      <c r="E391" s="1" t="s">
        <v>206</v>
      </c>
      <c r="F391" s="1" t="s">
        <v>60</v>
      </c>
      <c r="G391" s="1" t="s">
        <v>82</v>
      </c>
      <c r="H391" s="1" t="s">
        <v>61</v>
      </c>
      <c r="I391" s="1" t="s">
        <v>169</v>
      </c>
      <c r="J391" s="1">
        <v>6</v>
      </c>
      <c r="K391" s="15">
        <v>24.71</v>
      </c>
      <c r="L391" s="13">
        <v>0</v>
      </c>
      <c r="M391" s="18">
        <v>14.36</v>
      </c>
      <c r="N391" s="12">
        <f>(Table1[[#This Row],[Quantity]]*Table1[[#This Row],[Unit Price]])*(1-Table1[[#This Row],[Discount]])</f>
        <v>148.26</v>
      </c>
      <c r="O391" s="12">
        <f>(Table1[[#This Row],[Unit Price]]-Table1[[#This Row],[Unit Cost]])*Table1[[#This Row],[Quantity]]</f>
        <v>62.100000000000009</v>
      </c>
      <c r="P391" s="17" t="str">
        <f t="shared" si="6"/>
        <v>Standard</v>
      </c>
      <c r="Q391" t="str">
        <f>IF(Table1[[#This Row],[Discount]]&gt;=15%,"HIGH",IF(Table1[[#This Row],[Discount]]&gt;=55,"MEDIUM","NONE"))</f>
        <v>NONE</v>
      </c>
      <c r="R391">
        <f>Table1[[#This Row],[Ship Date]]-Table1[[#This Row],[Order Date]]</f>
        <v>3</v>
      </c>
    </row>
    <row r="392" spans="1:18" x14ac:dyDescent="0.25">
      <c r="A392" s="3" t="s">
        <v>887</v>
      </c>
      <c r="B392" s="2" t="s">
        <v>634</v>
      </c>
      <c r="C392" s="2" t="s">
        <v>449</v>
      </c>
      <c r="D392" s="1" t="s">
        <v>16</v>
      </c>
      <c r="E392" s="1" t="s">
        <v>55</v>
      </c>
      <c r="F392" s="1" t="s">
        <v>25</v>
      </c>
      <c r="G392" s="1" t="s">
        <v>67</v>
      </c>
      <c r="H392" s="1" t="s">
        <v>20</v>
      </c>
      <c r="I392" s="1" t="s">
        <v>113</v>
      </c>
      <c r="J392" s="1">
        <v>3</v>
      </c>
      <c r="K392" s="15">
        <v>1127.31</v>
      </c>
      <c r="L392" s="13">
        <v>0.05</v>
      </c>
      <c r="M392" s="18">
        <v>774.58</v>
      </c>
      <c r="N392" s="12">
        <f>(Table1[[#This Row],[Quantity]]*Table1[[#This Row],[Unit Price]])*(1-Table1[[#This Row],[Discount]])</f>
        <v>3212.8334999999997</v>
      </c>
      <c r="O392" s="12">
        <f>(Table1[[#This Row],[Unit Price]]-Table1[[#This Row],[Unit Cost]])*Table1[[#This Row],[Quantity]]</f>
        <v>1058.1899999999996</v>
      </c>
      <c r="P392" s="17" t="str">
        <f t="shared" si="6"/>
        <v>Standard</v>
      </c>
      <c r="Q392" t="str">
        <f>IF(Table1[[#This Row],[Discount]]&gt;=15%,"HIGH",IF(Table1[[#This Row],[Discount]]&gt;=55,"MEDIUM","NONE"))</f>
        <v>NONE</v>
      </c>
      <c r="R392">
        <f>Table1[[#This Row],[Ship Date]]-Table1[[#This Row],[Order Date]]</f>
        <v>4</v>
      </c>
    </row>
    <row r="393" spans="1:18" x14ac:dyDescent="0.25">
      <c r="A393" s="3" t="s">
        <v>888</v>
      </c>
      <c r="B393" s="2" t="s">
        <v>889</v>
      </c>
      <c r="C393" s="2" t="s">
        <v>890</v>
      </c>
      <c r="D393" s="1" t="s">
        <v>16</v>
      </c>
      <c r="E393" s="1" t="s">
        <v>112</v>
      </c>
      <c r="F393" s="1" t="s">
        <v>18</v>
      </c>
      <c r="G393" s="1" t="s">
        <v>50</v>
      </c>
      <c r="H393" s="1" t="s">
        <v>20</v>
      </c>
      <c r="I393" s="1" t="s">
        <v>21</v>
      </c>
      <c r="J393" s="1">
        <v>21</v>
      </c>
      <c r="K393" s="15">
        <v>1121.33</v>
      </c>
      <c r="L393" s="13">
        <v>0.05</v>
      </c>
      <c r="M393" s="18">
        <v>703.46</v>
      </c>
      <c r="N393" s="12">
        <f>(Table1[[#This Row],[Quantity]]*Table1[[#This Row],[Unit Price]])*(1-Table1[[#This Row],[Discount]])</f>
        <v>22370.533499999998</v>
      </c>
      <c r="O393" s="12">
        <f>(Table1[[#This Row],[Unit Price]]-Table1[[#This Row],[Unit Cost]])*Table1[[#This Row],[Quantity]]</f>
        <v>8775.2699999999968</v>
      </c>
      <c r="P393" s="17" t="str">
        <f t="shared" si="6"/>
        <v>Standard</v>
      </c>
      <c r="Q393" t="str">
        <f>IF(Table1[[#This Row],[Discount]]&gt;=15%,"HIGH",IF(Table1[[#This Row],[Discount]]&gt;=55,"MEDIUM","NONE"))</f>
        <v>NONE</v>
      </c>
      <c r="R393">
        <f>Table1[[#This Row],[Ship Date]]-Table1[[#This Row],[Order Date]]</f>
        <v>5</v>
      </c>
    </row>
    <row r="394" spans="1:18" x14ac:dyDescent="0.25">
      <c r="A394" s="3" t="s">
        <v>891</v>
      </c>
      <c r="B394" s="2" t="s">
        <v>101</v>
      </c>
      <c r="C394" s="2" t="s">
        <v>102</v>
      </c>
      <c r="D394" s="1" t="s">
        <v>16</v>
      </c>
      <c r="E394" s="1" t="s">
        <v>78</v>
      </c>
      <c r="F394" s="1" t="s">
        <v>38</v>
      </c>
      <c r="G394" s="1" t="s">
        <v>26</v>
      </c>
      <c r="H394" s="1" t="s">
        <v>45</v>
      </c>
      <c r="I394" s="1" t="s">
        <v>68</v>
      </c>
      <c r="J394" s="1">
        <v>22</v>
      </c>
      <c r="K394" s="15">
        <v>324.06</v>
      </c>
      <c r="L394" s="13">
        <v>0</v>
      </c>
      <c r="M394" s="18">
        <v>248.25</v>
      </c>
      <c r="N394" s="12">
        <f>(Table1[[#This Row],[Quantity]]*Table1[[#This Row],[Unit Price]])*(1-Table1[[#This Row],[Discount]])</f>
        <v>7129.32</v>
      </c>
      <c r="O394" s="12">
        <f>(Table1[[#This Row],[Unit Price]]-Table1[[#This Row],[Unit Cost]])*Table1[[#This Row],[Quantity]]</f>
        <v>1667.8200000000002</v>
      </c>
      <c r="P394" s="17" t="str">
        <f t="shared" si="6"/>
        <v>Bulk</v>
      </c>
      <c r="Q394" t="str">
        <f>IF(Table1[[#This Row],[Discount]]&gt;=15%,"HIGH",IF(Table1[[#This Row],[Discount]]&gt;=55,"MEDIUM","NONE"))</f>
        <v>NONE</v>
      </c>
      <c r="R394">
        <f>Table1[[#This Row],[Ship Date]]-Table1[[#This Row],[Order Date]]</f>
        <v>7</v>
      </c>
    </row>
    <row r="395" spans="1:18" x14ac:dyDescent="0.25">
      <c r="A395" s="3" t="s">
        <v>892</v>
      </c>
      <c r="B395" s="2" t="s">
        <v>155</v>
      </c>
      <c r="C395" s="2" t="s">
        <v>155</v>
      </c>
      <c r="D395" s="1" t="s">
        <v>24</v>
      </c>
      <c r="E395" s="1" t="s">
        <v>78</v>
      </c>
      <c r="F395" s="1" t="s">
        <v>38</v>
      </c>
      <c r="G395" s="1" t="s">
        <v>82</v>
      </c>
      <c r="H395" s="1" t="s">
        <v>61</v>
      </c>
      <c r="I395" s="1" t="s">
        <v>88</v>
      </c>
      <c r="J395" s="1">
        <v>24</v>
      </c>
      <c r="K395" s="15">
        <v>60.87</v>
      </c>
      <c r="L395" s="13">
        <v>0.1</v>
      </c>
      <c r="M395" s="18">
        <v>40.1</v>
      </c>
      <c r="N395" s="12">
        <f>(Table1[[#This Row],[Quantity]]*Table1[[#This Row],[Unit Price]])*(1-Table1[[#This Row],[Discount]])</f>
        <v>1314.7919999999999</v>
      </c>
      <c r="O395" s="12">
        <f>(Table1[[#This Row],[Unit Price]]-Table1[[#This Row],[Unit Cost]])*Table1[[#This Row],[Quantity]]</f>
        <v>498.4799999999999</v>
      </c>
      <c r="P395" s="17" t="str">
        <f t="shared" si="6"/>
        <v>Bulk</v>
      </c>
      <c r="Q395" t="str">
        <f>IF(Table1[[#This Row],[Discount]]&gt;=15%,"HIGH",IF(Table1[[#This Row],[Discount]]&gt;=55,"MEDIUM","NONE"))</f>
        <v>NONE</v>
      </c>
      <c r="R395">
        <f>Table1[[#This Row],[Ship Date]]-Table1[[#This Row],[Order Date]]</f>
        <v>0</v>
      </c>
    </row>
    <row r="396" spans="1:18" x14ac:dyDescent="0.25">
      <c r="A396" s="3" t="s">
        <v>893</v>
      </c>
      <c r="B396" s="2" t="s">
        <v>894</v>
      </c>
      <c r="C396" s="2" t="s">
        <v>895</v>
      </c>
      <c r="D396" s="1" t="s">
        <v>30</v>
      </c>
      <c r="E396" s="1" t="s">
        <v>214</v>
      </c>
      <c r="F396" s="1" t="s">
        <v>60</v>
      </c>
      <c r="G396" s="1" t="s">
        <v>32</v>
      </c>
      <c r="H396" s="1" t="s">
        <v>45</v>
      </c>
      <c r="I396" s="1" t="s">
        <v>46</v>
      </c>
      <c r="J396" s="1">
        <v>9</v>
      </c>
      <c r="K396" s="15">
        <v>175.23</v>
      </c>
      <c r="L396" s="13">
        <v>0</v>
      </c>
      <c r="M396" s="18">
        <v>96.38</v>
      </c>
      <c r="N396" s="12">
        <f>(Table1[[#This Row],[Quantity]]*Table1[[#This Row],[Unit Price]])*(1-Table1[[#This Row],[Discount]])</f>
        <v>1577.07</v>
      </c>
      <c r="O396" s="12">
        <f>(Table1[[#This Row],[Unit Price]]-Table1[[#This Row],[Unit Cost]])*Table1[[#This Row],[Quantity]]</f>
        <v>709.65</v>
      </c>
      <c r="P396" s="17" t="str">
        <f t="shared" si="6"/>
        <v>Bulk</v>
      </c>
      <c r="Q396" t="str">
        <f>IF(Table1[[#This Row],[Discount]]&gt;=15%,"HIGH",IF(Table1[[#This Row],[Discount]]&gt;=55,"MEDIUM","NONE"))</f>
        <v>NONE</v>
      </c>
      <c r="R396">
        <f>Table1[[#This Row],[Ship Date]]-Table1[[#This Row],[Order Date]]</f>
        <v>3</v>
      </c>
    </row>
    <row r="397" spans="1:18" x14ac:dyDescent="0.25">
      <c r="A397" s="3" t="s">
        <v>896</v>
      </c>
      <c r="B397" s="2" t="s">
        <v>897</v>
      </c>
      <c r="C397" s="2" t="s">
        <v>898</v>
      </c>
      <c r="D397" s="1" t="s">
        <v>30</v>
      </c>
      <c r="E397" s="1" t="s">
        <v>66</v>
      </c>
      <c r="F397" s="1" t="s">
        <v>43</v>
      </c>
      <c r="G397" s="1" t="s">
        <v>82</v>
      </c>
      <c r="H397" s="1" t="s">
        <v>61</v>
      </c>
      <c r="I397" s="1" t="s">
        <v>72</v>
      </c>
      <c r="J397" s="1">
        <v>1</v>
      </c>
      <c r="K397" s="15">
        <v>71.27</v>
      </c>
      <c r="L397" s="13">
        <v>0.2</v>
      </c>
      <c r="M397" s="18">
        <v>44.42</v>
      </c>
      <c r="N397" s="12">
        <f>(Table1[[#This Row],[Quantity]]*Table1[[#This Row],[Unit Price]])*(1-Table1[[#This Row],[Discount]])</f>
        <v>57.015999999999998</v>
      </c>
      <c r="O397" s="12">
        <f>(Table1[[#This Row],[Unit Price]]-Table1[[#This Row],[Unit Cost]])*Table1[[#This Row],[Quantity]]</f>
        <v>26.849999999999994</v>
      </c>
      <c r="P397" s="17" t="str">
        <f t="shared" si="6"/>
        <v>Standard</v>
      </c>
      <c r="Q397" t="str">
        <f>IF(Table1[[#This Row],[Discount]]&gt;=15%,"HIGH",IF(Table1[[#This Row],[Discount]]&gt;=55,"MEDIUM","NONE"))</f>
        <v>HIGH</v>
      </c>
      <c r="R397">
        <f>Table1[[#This Row],[Ship Date]]-Table1[[#This Row],[Order Date]]</f>
        <v>2</v>
      </c>
    </row>
    <row r="398" spans="1:18" x14ac:dyDescent="0.25">
      <c r="A398" s="3" t="s">
        <v>899</v>
      </c>
      <c r="B398" s="2" t="s">
        <v>155</v>
      </c>
      <c r="C398" s="2" t="s">
        <v>229</v>
      </c>
      <c r="D398" s="1" t="s">
        <v>30</v>
      </c>
      <c r="E398" s="1" t="s">
        <v>122</v>
      </c>
      <c r="F398" s="1" t="s">
        <v>60</v>
      </c>
      <c r="G398" s="1" t="s">
        <v>97</v>
      </c>
      <c r="H398" s="1" t="s">
        <v>33</v>
      </c>
      <c r="I398" s="1" t="s">
        <v>51</v>
      </c>
      <c r="J398" s="1">
        <v>8</v>
      </c>
      <c r="K398" s="15">
        <v>8.1999999999999993</v>
      </c>
      <c r="L398" s="13">
        <v>0.15</v>
      </c>
      <c r="M398" s="18">
        <v>5.83</v>
      </c>
      <c r="N398" s="12">
        <f>(Table1[[#This Row],[Quantity]]*Table1[[#This Row],[Unit Price]])*(1-Table1[[#This Row],[Discount]])</f>
        <v>55.759999999999991</v>
      </c>
      <c r="O398" s="12">
        <f>(Table1[[#This Row],[Unit Price]]-Table1[[#This Row],[Unit Cost]])*Table1[[#This Row],[Quantity]]</f>
        <v>18.959999999999994</v>
      </c>
      <c r="P398" s="17" t="str">
        <f t="shared" si="6"/>
        <v>Standard</v>
      </c>
      <c r="Q398" t="str">
        <f>IF(Table1[[#This Row],[Discount]]&gt;=15%,"HIGH",IF(Table1[[#This Row],[Discount]]&gt;=55,"MEDIUM","NONE"))</f>
        <v>HIGH</v>
      </c>
      <c r="R398">
        <f>Table1[[#This Row],[Ship Date]]-Table1[[#This Row],[Order Date]]</f>
        <v>2</v>
      </c>
    </row>
    <row r="399" spans="1:18" x14ac:dyDescent="0.25">
      <c r="A399" s="3" t="s">
        <v>900</v>
      </c>
      <c r="B399" s="2" t="s">
        <v>901</v>
      </c>
      <c r="C399" s="2" t="s">
        <v>85</v>
      </c>
      <c r="D399" s="1" t="s">
        <v>30</v>
      </c>
      <c r="E399" s="1" t="s">
        <v>71</v>
      </c>
      <c r="F399" s="1" t="s">
        <v>25</v>
      </c>
      <c r="G399" s="1" t="s">
        <v>44</v>
      </c>
      <c r="H399" s="1" t="s">
        <v>20</v>
      </c>
      <c r="I399" s="1" t="s">
        <v>139</v>
      </c>
      <c r="J399" s="1">
        <v>21</v>
      </c>
      <c r="K399" s="15">
        <v>904.37</v>
      </c>
      <c r="L399" s="13">
        <v>0.2</v>
      </c>
      <c r="M399" s="18">
        <v>558.17999999999995</v>
      </c>
      <c r="N399" s="12">
        <f>(Table1[[#This Row],[Quantity]]*Table1[[#This Row],[Unit Price]])*(1-Table1[[#This Row],[Discount]])</f>
        <v>15193.416000000001</v>
      </c>
      <c r="O399" s="12">
        <f>(Table1[[#This Row],[Unit Price]]-Table1[[#This Row],[Unit Cost]])*Table1[[#This Row],[Quantity]]</f>
        <v>7269.9900000000016</v>
      </c>
      <c r="P399" s="17" t="str">
        <f t="shared" si="6"/>
        <v>Standard</v>
      </c>
      <c r="Q399" t="str">
        <f>IF(Table1[[#This Row],[Discount]]&gt;=15%,"HIGH",IF(Table1[[#This Row],[Discount]]&gt;=55,"MEDIUM","NONE"))</f>
        <v>HIGH</v>
      </c>
      <c r="R399">
        <f>Table1[[#This Row],[Ship Date]]-Table1[[#This Row],[Order Date]]</f>
        <v>2</v>
      </c>
    </row>
    <row r="400" spans="1:18" x14ac:dyDescent="0.25">
      <c r="A400" s="3" t="s">
        <v>902</v>
      </c>
      <c r="B400" s="2" t="s">
        <v>670</v>
      </c>
      <c r="C400" s="2" t="s">
        <v>237</v>
      </c>
      <c r="D400" s="1" t="s">
        <v>30</v>
      </c>
      <c r="E400" s="1" t="s">
        <v>75</v>
      </c>
      <c r="F400" s="1" t="s">
        <v>43</v>
      </c>
      <c r="G400" s="1" t="s">
        <v>82</v>
      </c>
      <c r="H400" s="1" t="s">
        <v>45</v>
      </c>
      <c r="I400" s="1" t="s">
        <v>148</v>
      </c>
      <c r="J400" s="1">
        <v>23</v>
      </c>
      <c r="K400" s="15">
        <v>520.84</v>
      </c>
      <c r="L400" s="13">
        <v>0</v>
      </c>
      <c r="M400" s="18">
        <v>328.21</v>
      </c>
      <c r="N400" s="12">
        <f>(Table1[[#This Row],[Quantity]]*Table1[[#This Row],[Unit Price]])*(1-Table1[[#This Row],[Discount]])</f>
        <v>11979.320000000002</v>
      </c>
      <c r="O400" s="12">
        <f>(Table1[[#This Row],[Unit Price]]-Table1[[#This Row],[Unit Cost]])*Table1[[#This Row],[Quantity]]</f>
        <v>4430.4900000000016</v>
      </c>
      <c r="P400" s="17" t="str">
        <f t="shared" si="6"/>
        <v>Bulk</v>
      </c>
      <c r="Q400" t="str">
        <f>IF(Table1[[#This Row],[Discount]]&gt;=15%,"HIGH",IF(Table1[[#This Row],[Discount]]&gt;=55,"MEDIUM","NONE"))</f>
        <v>NONE</v>
      </c>
      <c r="R400">
        <f>Table1[[#This Row],[Ship Date]]-Table1[[#This Row],[Order Date]]</f>
        <v>2</v>
      </c>
    </row>
    <row r="401" spans="1:18" x14ac:dyDescent="0.25">
      <c r="A401" s="7" t="s">
        <v>903</v>
      </c>
      <c r="B401" s="8" t="s">
        <v>514</v>
      </c>
      <c r="C401" s="8" t="s">
        <v>659</v>
      </c>
      <c r="D401" s="9" t="s">
        <v>16</v>
      </c>
      <c r="E401" s="9" t="s">
        <v>214</v>
      </c>
      <c r="F401" s="9" t="s">
        <v>43</v>
      </c>
      <c r="G401" s="9" t="s">
        <v>44</v>
      </c>
      <c r="H401" s="9" t="s">
        <v>20</v>
      </c>
      <c r="I401" s="9" t="s">
        <v>113</v>
      </c>
      <c r="J401" s="9">
        <v>23</v>
      </c>
      <c r="K401" s="16">
        <v>554.17999999999995</v>
      </c>
      <c r="L401" s="14">
        <v>0</v>
      </c>
      <c r="M401" s="19">
        <v>337.05</v>
      </c>
      <c r="N401" s="12">
        <f>(Table1[[#This Row],[Quantity]]*Table1[[#This Row],[Unit Price]])*(1-Table1[[#This Row],[Discount]])</f>
        <v>12746.14</v>
      </c>
      <c r="O401" s="12">
        <f>(Table1[[#This Row],[Unit Price]]-Table1[[#This Row],[Unit Cost]])*Table1[[#This Row],[Quantity]]</f>
        <v>4993.9899999999989</v>
      </c>
      <c r="P401" s="17" t="str">
        <f t="shared" si="6"/>
        <v>Bulk</v>
      </c>
      <c r="Q401" t="str">
        <f>IF(Table1[[#This Row],[Discount]]&gt;=15%,"HIGH",IF(Table1[[#This Row],[Discount]]&gt;=55,"MEDIUM","NONE"))</f>
        <v>NONE</v>
      </c>
      <c r="R401">
        <f>Table1[[#This Row],[Ship Date]]-Table1[[#This Row],[Order Date]]</f>
        <v>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F500-EB9A-4CCB-8678-E37F1168D26F}">
  <dimension ref="A1:D12"/>
  <sheetViews>
    <sheetView workbookViewId="0">
      <selection activeCell="E2" sqref="E2"/>
    </sheetView>
  </sheetViews>
  <sheetFormatPr defaultRowHeight="15" x14ac:dyDescent="0.25"/>
  <cols>
    <col min="1" max="1" width="19.5703125" bestFit="1" customWidth="1"/>
    <col min="2" max="2" width="20.140625" bestFit="1" customWidth="1"/>
  </cols>
  <sheetData>
    <row r="1" spans="1:4" x14ac:dyDescent="0.25">
      <c r="A1" t="s">
        <v>909</v>
      </c>
      <c r="B1" t="s">
        <v>910</v>
      </c>
      <c r="D1" t="s">
        <v>915</v>
      </c>
    </row>
    <row r="2" spans="1:4" x14ac:dyDescent="0.25">
      <c r="A2">
        <f>AVERAGE(Table1[Quantity])</f>
        <v>12.9725</v>
      </c>
      <c r="B2">
        <f>AVERAGE(Table1[[#This Row],[Unit Price]])</f>
        <v>167.87</v>
      </c>
    </row>
    <row r="4" spans="1:4" x14ac:dyDescent="0.25">
      <c r="A4" t="s">
        <v>911</v>
      </c>
      <c r="B4" t="s">
        <v>913</v>
      </c>
    </row>
    <row r="5" spans="1:4" x14ac:dyDescent="0.25">
      <c r="A5">
        <f>MAX(Table1[Quantity])</f>
        <v>25</v>
      </c>
      <c r="B5">
        <f>MAX(Sales_Data!K:K)</f>
        <v>1194.79</v>
      </c>
    </row>
    <row r="8" spans="1:4" x14ac:dyDescent="0.25">
      <c r="A8" t="s">
        <v>912</v>
      </c>
      <c r="B8" t="s">
        <v>914</v>
      </c>
    </row>
    <row r="9" spans="1:4" x14ac:dyDescent="0.25">
      <c r="A9">
        <f>MIN(Sales_Data!J380:J401)</f>
        <v>1</v>
      </c>
      <c r="B9">
        <f>MIN(Sales_Data!K380:K401)</f>
        <v>8.16</v>
      </c>
    </row>
    <row r="12" spans="1:4" x14ac:dyDescent="0.25">
      <c r="A12" t="s">
        <v>916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F74C-4841-4FD0-8178-BDF086B7124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S0361167</cp:lastModifiedBy>
  <cp:revision>0</cp:revision>
  <dcterms:created xsi:type="dcterms:W3CDTF">2026-07-18T10:09:07Z</dcterms:created>
  <dcterms:modified xsi:type="dcterms:W3CDTF">2026-07-18T15:52:17Z</dcterms:modified>
  <dc:language>en-US</dc:language>
</cp:coreProperties>
</file>